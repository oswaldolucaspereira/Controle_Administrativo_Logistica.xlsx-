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uário\Downloads\"/>
    </mc:Choice>
  </mc:AlternateContent>
  <xr:revisionPtr revIDLastSave="0" documentId="8_{02B4D7E4-E4F8-4BAC-B128-240A31C8C810}" xr6:coauthVersionLast="47" xr6:coauthVersionMax="47" xr10:uidLastSave="{00000000-0000-0000-0000-000000000000}"/>
  <bookViews>
    <workbookView xWindow="-120" yWindow="-120" windowWidth="19440" windowHeight="15000" activeTab="1" xr2:uid="{A13AC075-BDE3-4EB3-AD7D-5E3E60673893}"/>
  </bookViews>
  <sheets>
    <sheet name="BASE_ENTREGAS" sheetId="1" r:id="rId1"/>
    <sheet name="DASHBOARD" sheetId="2" r:id="rId2"/>
  </sheets>
  <calcPr calcId="191029"/>
  <pivotCaches>
    <pivotCache cacheId="8" r:id="rId3"/>
    <pivotCache cacheId="16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<sst xmlns="http://schemas.openxmlformats.org/spreadsheetml/2006/main" count="449" uniqueCount="167">
  <si>
    <t>BASE DE ENTREGAS</t>
  </si>
  <si>
    <t>CLIENTE</t>
  </si>
  <si>
    <t>CIDADE</t>
  </si>
  <si>
    <t>ESTADO</t>
  </si>
  <si>
    <t>ID_PEDIDO</t>
  </si>
  <si>
    <t>DATA_PEDIDO</t>
  </si>
  <si>
    <t>DATA_ENVIO</t>
  </si>
  <si>
    <t>PRAZO_DIAS</t>
  </si>
  <si>
    <t>DATA_PREVISTA</t>
  </si>
  <si>
    <t>STATUS</t>
  </si>
  <si>
    <t>TRANSPORTADORA</t>
  </si>
  <si>
    <t>VALOR_FRETE</t>
  </si>
  <si>
    <t>OBSERVAÇOES</t>
  </si>
  <si>
    <t>PED001</t>
  </si>
  <si>
    <t>PED002</t>
  </si>
  <si>
    <t>PED003</t>
  </si>
  <si>
    <t>PED004</t>
  </si>
  <si>
    <t>PED005</t>
  </si>
  <si>
    <t>PED006</t>
  </si>
  <si>
    <t>PED007</t>
  </si>
  <si>
    <t>PED008</t>
  </si>
  <si>
    <t>PED009</t>
  </si>
  <si>
    <t>PED010</t>
  </si>
  <si>
    <t>PED011</t>
  </si>
  <si>
    <t>PED012</t>
  </si>
  <si>
    <t>PED013</t>
  </si>
  <si>
    <t>PED014</t>
  </si>
  <si>
    <t>PED015</t>
  </si>
  <si>
    <t>PED016</t>
  </si>
  <si>
    <t>PED017</t>
  </si>
  <si>
    <t>PED018</t>
  </si>
  <si>
    <t>PED019</t>
  </si>
  <si>
    <t>PED020</t>
  </si>
  <si>
    <t>PED021</t>
  </si>
  <si>
    <t>PED022</t>
  </si>
  <si>
    <t>PED023</t>
  </si>
  <si>
    <t>PED024</t>
  </si>
  <si>
    <t>PED025</t>
  </si>
  <si>
    <t>PED026</t>
  </si>
  <si>
    <t>PED027</t>
  </si>
  <si>
    <t>PED028</t>
  </si>
  <si>
    <t>PED029</t>
  </si>
  <si>
    <t>PED030</t>
  </si>
  <si>
    <t>PED031</t>
  </si>
  <si>
    <t>PED032</t>
  </si>
  <si>
    <t>PED033</t>
  </si>
  <si>
    <t>PED034</t>
  </si>
  <si>
    <t>PED035</t>
  </si>
  <si>
    <t>PED036</t>
  </si>
  <si>
    <t>PED037</t>
  </si>
  <si>
    <t>PED038</t>
  </si>
  <si>
    <t>PED039</t>
  </si>
  <si>
    <t>PED040</t>
  </si>
  <si>
    <t>PED041</t>
  </si>
  <si>
    <t>PED042</t>
  </si>
  <si>
    <t>PED043</t>
  </si>
  <si>
    <t>PED044</t>
  </si>
  <si>
    <t>PED045</t>
  </si>
  <si>
    <t>PED046</t>
  </si>
  <si>
    <t>PED047</t>
  </si>
  <si>
    <t>PED048</t>
  </si>
  <si>
    <t>PED049</t>
  </si>
  <si>
    <t>PED050</t>
  </si>
  <si>
    <t>João Silva</t>
  </si>
  <si>
    <t>Maria Oliveira</t>
  </si>
  <si>
    <t>Carlos Souza</t>
  </si>
  <si>
    <t>Ana Pereira</t>
  </si>
  <si>
    <t>Lucas Almeida</t>
  </si>
  <si>
    <t>Fernanda Lima</t>
  </si>
  <si>
    <t>Rafael Costa</t>
  </si>
  <si>
    <t>Juliana Rocha</t>
  </si>
  <si>
    <t>Marcos Santos</t>
  </si>
  <si>
    <t>Patricia Gomes</t>
  </si>
  <si>
    <t>Bruno Martins</t>
  </si>
  <si>
    <t>Camila Ferreira</t>
  </si>
  <si>
    <t>Eduardo Barbosa</t>
  </si>
  <si>
    <t>Larissa Mendes</t>
  </si>
  <si>
    <t>Thiago Ribeiro</t>
  </si>
  <si>
    <t>Amanda Silva</t>
  </si>
  <si>
    <t>Gustavo Rocha</t>
  </si>
  <si>
    <t>Beatriz Almeida</t>
  </si>
  <si>
    <t>Felipe Souza</t>
  </si>
  <si>
    <t>Daniela Costa</t>
  </si>
  <si>
    <t>Mariana Teixeira</t>
  </si>
  <si>
    <t>Rodrigo Campos</t>
  </si>
  <si>
    <t>Letícia Santos</t>
  </si>
  <si>
    <t>Vinicius Lopes</t>
  </si>
  <si>
    <t>Carla Mendes</t>
  </si>
  <si>
    <t>Igor Cardoso</t>
  </si>
  <si>
    <t>Sabrina Rocha</t>
  </si>
  <si>
    <t>Daniel Oliveira</t>
  </si>
  <si>
    <t>Jéssica Alves</t>
  </si>
  <si>
    <t>Fábio Ribeiro</t>
  </si>
  <si>
    <t>Renata Castro</t>
  </si>
  <si>
    <t>André Souza</t>
  </si>
  <si>
    <t>Tatiane Gomes</t>
  </si>
  <si>
    <t>Ricardo Lima</t>
  </si>
  <si>
    <t>Paula Fernandes</t>
  </si>
  <si>
    <t>Diego Silva</t>
  </si>
  <si>
    <t>Camila Rodrigues</t>
  </si>
  <si>
    <t>Alexandre Barbosa</t>
  </si>
  <si>
    <t>Fernanda Santos</t>
  </si>
  <si>
    <t>Bruno Rocha</t>
  </si>
  <si>
    <t>Marina Carvalho</t>
  </si>
  <si>
    <t>Gabriel Martins</t>
  </si>
  <si>
    <t>Luana Souza</t>
  </si>
  <si>
    <t>Mateus Almeida</t>
  </si>
  <si>
    <t>Bianca Costa</t>
  </si>
  <si>
    <t>Leandro Pereira</t>
  </si>
  <si>
    <t>Aline Ribeiro</t>
  </si>
  <si>
    <t>Vitor Oliveira</t>
  </si>
  <si>
    <t>Juliana Lima</t>
  </si>
  <si>
    <t>Larissa Santos</t>
  </si>
  <si>
    <t>São Paulo</t>
  </si>
  <si>
    <t>Campinas</t>
  </si>
  <si>
    <t>Santos</t>
  </si>
  <si>
    <t>Sorocaba</t>
  </si>
  <si>
    <t>Ribeirão Preto</t>
  </si>
  <si>
    <t>São José dos Campos</t>
  </si>
  <si>
    <t>Bauru</t>
  </si>
  <si>
    <t>Piracicaba</t>
  </si>
  <si>
    <t>SP</t>
  </si>
  <si>
    <t>Entregue</t>
  </si>
  <si>
    <t>Em Transporte</t>
  </si>
  <si>
    <t>Atrasado</t>
  </si>
  <si>
    <t>Enviado</t>
  </si>
  <si>
    <t>LogExpress</t>
  </si>
  <si>
    <t>RapidoSul</t>
  </si>
  <si>
    <t>InteriorLog</t>
  </si>
  <si>
    <t>Entrega realizada no prazo</t>
  </si>
  <si>
    <t>Em rota de entrega</t>
  </si>
  <si>
    <t>Trânsito intenso</t>
  </si>
  <si>
    <t>Saiu do centro de distribuição</t>
  </si>
  <si>
    <t>Entregue com assinatura</t>
  </si>
  <si>
    <t>Em deslocamento</t>
  </si>
  <si>
    <t>Entrega realizada</t>
  </si>
  <si>
    <t>Cliente ausente</t>
  </si>
  <si>
    <t>Entregue antes do prazo</t>
  </si>
  <si>
    <t>Em trânsito</t>
  </si>
  <si>
    <t>Aguardando atualização</t>
  </si>
  <si>
    <t>Recebido pelo porteiro</t>
  </si>
  <si>
    <t>Em rota</t>
  </si>
  <si>
    <t>Entrega confirmada</t>
  </si>
  <si>
    <t>Problema mecânico</t>
  </si>
  <si>
    <t>Entregue no prazo</t>
  </si>
  <si>
    <t>Saiu para transporte</t>
  </si>
  <si>
    <t>Entregue normalmente</t>
  </si>
  <si>
    <t>Entrega normalmente</t>
  </si>
  <si>
    <t>MARKTPLACE</t>
  </si>
  <si>
    <t>Shopee</t>
  </si>
  <si>
    <t>Mercado Livre</t>
  </si>
  <si>
    <t>AliExpress</t>
  </si>
  <si>
    <t>Shein</t>
  </si>
  <si>
    <t>Amazon</t>
  </si>
  <si>
    <t>Magazine Luiza</t>
  </si>
  <si>
    <t>Total Geral</t>
  </si>
  <si>
    <t>mar</t>
  </si>
  <si>
    <t>abr</t>
  </si>
  <si>
    <t>DASHBOARD - LOGÍSTICA</t>
  </si>
  <si>
    <t>Distribuição das Entregas por Status</t>
  </si>
  <si>
    <t>Quantidade de Entregas por Mê</t>
  </si>
  <si>
    <t>Custo de Frete por Mês</t>
  </si>
  <si>
    <t>Entregas por Cidade</t>
  </si>
  <si>
    <t>Entregas por Transportadora</t>
  </si>
  <si>
    <t>Descriçao</t>
  </si>
  <si>
    <t>Descrição</t>
  </si>
  <si>
    <t xml:space="preserve">Descrição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</si>
</sst>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6"/>
      <color rgb="FF002060"/>
      <name val="Arial"/>
      <family val="2"/>
    </font>
    <font>
      <b/>
      <sz val="24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1" fillId="0" borderId="0" xfId="0" applyFont="1"/>
    <xf numFmtId="0" fontId="0" fillId="2" borderId="0" xfId="0" applyFill="1"/>
    <xf numFmtId="0" fontId="4" fillId="3" borderId="0" xfId="0" applyFont="1" applyFill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horizontal="left"/>
    </xf>
    <xf numFmtId="0" fontId="0" fillId="5" borderId="0" xfId="0" applyNumberFormat="1" applyFill="1"/>
    <xf numFmtId="164" fontId="0" fillId="5" borderId="0" xfId="0" applyNumberFormat="1" applyFill="1"/>
  </cellXfs>
  <cellStyles count="1">
    <cellStyle name="Normal" xfId="0" builtinId="0"/>
  </cellStyles>
  <dxfs count="60"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4" tint="0.59996337778862885"/>
      </font>
      <fill>
        <patternFill>
          <bgColor theme="4" tint="-0.2499465926084170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ill>
        <patternFill patternType="solid">
          <bgColor theme="7" tint="0.39997558519241921"/>
        </patternFill>
      </fill>
    </dxf>
    <dxf>
      <font>
        <b/>
      </font>
    </dxf>
    <dxf>
      <numFmt numFmtId="19" formatCode="dd/mm/yyyy"/>
    </dxf>
    <dxf>
      <numFmt numFmtId="164" formatCode="_-[$R$-416]\ * #,##0.00_-;\-[$R$-416]\ * #,##0.00_-;_-[$R$-416]\ * &quot;-&quot;??_-;_-@_-"/>
    </dxf>
    <dxf>
      <numFmt numFmtId="19" formatCode="dd/mm/yyyy"/>
    </dxf>
    <dxf>
      <numFmt numFmtId="19" formatCode="dd/mm/yyyy"/>
    </dxf>
    <dxf>
      <font>
        <b/>
        <strike val="0"/>
        <outline val="0"/>
        <shadow val="0"/>
        <u val="none"/>
        <vertAlign val="baseline"/>
        <sz val="18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C0CDA"/>
      <color rgb="FF59AF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[Controle_Administrativo_Logistica.xlsx]DASHBOARD!Tabela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Total</a:t>
            </a:r>
            <a:r>
              <a:rPr lang="en-US" sz="2000" baseline="0"/>
              <a:t> Contagem de Status</a:t>
            </a:r>
            <a:endParaRPr lang="en-US" sz="2000"/>
          </a:p>
        </c:rich>
      </c:tx>
      <c:layout>
        <c:manualLayout>
          <c:xMode val="edge"/>
          <c:yMode val="edge"/>
          <c:x val="0.16526587714458649"/>
          <c:y val="8.69094895163930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rgbClr val="FF0000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5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3.0206112187523112E-2"/>
          <c:y val="0.27103641063079531"/>
          <c:w val="0.72972801078961436"/>
          <c:h val="0.59728568549928773"/>
        </c:manualLayout>
      </c:layout>
      <c:doughnutChart>
        <c:varyColors val="1"/>
        <c:ser>
          <c:idx val="0"/>
          <c:order val="0"/>
          <c:tx>
            <c:strRef>
              <c:f>DASHBOARD!$B$3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rgbClr val="FF0000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C3F-42D4-86A6-6C29D6A011AE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C3F-42D4-86A6-6C29D6A011AE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C3F-42D4-86A6-6C29D6A011AE}"/>
              </c:ext>
            </c:extLst>
          </c:dPt>
          <c:dPt>
            <c:idx val="3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C3F-42D4-86A6-6C29D6A011AE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DASHBOARD!$A$4:$A$8</c:f>
              <c:strCache>
                <c:ptCount val="4"/>
                <c:pt idx="0">
                  <c:v>Atrasado</c:v>
                </c:pt>
                <c:pt idx="1">
                  <c:v>Em Transporte</c:v>
                </c:pt>
                <c:pt idx="2">
                  <c:v>Entregue</c:v>
                </c:pt>
                <c:pt idx="3">
                  <c:v>Enviado</c:v>
                </c:pt>
              </c:strCache>
            </c:strRef>
          </c:cat>
          <c:val>
            <c:numRef>
              <c:f>DASHBOARD!$B$4:$B$8</c:f>
              <c:numCache>
                <c:formatCode>General</c:formatCode>
                <c:ptCount val="4"/>
                <c:pt idx="0">
                  <c:v>9</c:v>
                </c:pt>
                <c:pt idx="1">
                  <c:v>16</c:v>
                </c:pt>
                <c:pt idx="2">
                  <c:v>19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3F-42D4-86A6-6C29D6A011AE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547635618021602"/>
          <c:y val="0.36299964954571712"/>
          <c:w val="0.25056036745406823"/>
          <c:h val="0.354083391688862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[Controle_Administrativo_Logistica.xlsx]DASHBOARD!Tabela dinâmica2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Quantide</a:t>
            </a:r>
            <a:r>
              <a:rPr lang="en-US" baseline="0"/>
              <a:t> Entregas ao Total do Mês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206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solidFill>
            <a:srgbClr val="FFFF0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DASHBOARD!$E$3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0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391-4314-85C7-BEF68C4D3C37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91-4314-85C7-BEF68C4D3C37}"/>
              </c:ext>
            </c:extLst>
          </c:dPt>
          <c:cat>
            <c:strRef>
              <c:f>DASHBOARD!$D$4:$D$6</c:f>
              <c:strCache>
                <c:ptCount val="2"/>
                <c:pt idx="0">
                  <c:v>mar</c:v>
                </c:pt>
                <c:pt idx="1">
                  <c:v>abr</c:v>
                </c:pt>
              </c:strCache>
            </c:strRef>
          </c:cat>
          <c:val>
            <c:numRef>
              <c:f>DASHBOARD!$E$4:$E$6</c:f>
              <c:numCache>
                <c:formatCode>General</c:formatCode>
                <c:ptCount val="2"/>
                <c:pt idx="0">
                  <c:v>31</c:v>
                </c:pt>
                <c:pt idx="1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1-4314-85C7-BEF68C4D3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5348831"/>
        <c:axId val="935349311"/>
      </c:barChart>
      <c:catAx>
        <c:axId val="93534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5349311"/>
        <c:crosses val="autoZero"/>
        <c:auto val="1"/>
        <c:lblAlgn val="ctr"/>
        <c:lblOffset val="100"/>
        <c:noMultiLvlLbl val="0"/>
      </c:catAx>
      <c:valAx>
        <c:axId val="93534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534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376902887139107"/>
          <c:y val="4.0403166817262588E-2"/>
          <c:w val="0.24700717965809832"/>
          <c:h val="0.2337124688415325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[Controle_Administrativo_Logistica.xlsx]DASHBOARD!Tabela dinâmica3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000" b="1" i="0" u="none" strike="noStrike" baseline="0"/>
              <a:t>Custo de Frete por Mês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DASHBOARD!$H$3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DASHBOARD!$G$4:$G$6</c:f>
              <c:strCache>
                <c:ptCount val="2"/>
                <c:pt idx="0">
                  <c:v>mar</c:v>
                </c:pt>
                <c:pt idx="1">
                  <c:v>abr</c:v>
                </c:pt>
              </c:strCache>
            </c:strRef>
          </c:cat>
          <c:val>
            <c:numRef>
              <c:f>DASHBOARD!$H$4:$H$6</c:f>
              <c:numCache>
                <c:formatCode>_-[$R$-416]\ * #,##0.00_-;\-[$R$-416]\ * #,##0.00_-;_-[$R$-416]\ * "-"??_-;_-@_-</c:formatCode>
                <c:ptCount val="2"/>
                <c:pt idx="0">
                  <c:v>879</c:v>
                </c:pt>
                <c:pt idx="1">
                  <c:v>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A6-4809-93BB-D90FF7D0A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1277455"/>
        <c:axId val="813254175"/>
      </c:lineChart>
      <c:catAx>
        <c:axId val="81127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3254175"/>
        <c:crosses val="autoZero"/>
        <c:auto val="1"/>
        <c:lblAlgn val="ctr"/>
        <c:lblOffset val="100"/>
        <c:noMultiLvlLbl val="0"/>
      </c:catAx>
      <c:valAx>
        <c:axId val="813254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1277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[Controle_Administrativo_Logistica.xlsx]DASHBOARD!Tabela dinâmica4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800" b="1" i="0" u="none" strike="noStrike" baseline="0"/>
              <a:t>Frete Total por Cidade</a:t>
            </a:r>
            <a:endParaRPr lang="en-US" sz="2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FF00"/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3"/>
        <c:spPr>
          <a:solidFill>
            <a:schemeClr val="accent2">
              <a:lumMod val="75000"/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4"/>
        <c:spPr>
          <a:solidFill>
            <a:schemeClr val="accent6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5"/>
        <c:spPr>
          <a:solidFill>
            <a:srgbClr val="FF0000">
              <a:alpha val="85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6"/>
        <c:spPr>
          <a:solidFill>
            <a:schemeClr val="bg2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7"/>
        <c:spPr>
          <a:solidFill>
            <a:srgbClr val="7030A0">
              <a:alpha val="85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8"/>
        <c:spPr>
          <a:solidFill>
            <a:srgbClr val="0C0CDA">
              <a:alpha val="84706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  <c:pivotFmt>
        <c:idx val="9"/>
        <c:spPr>
          <a:solidFill>
            <a:srgbClr val="00B0F0">
              <a:alpha val="85000"/>
            </a:srgb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DASHBOARD!$K$3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solidFill>
                <a:srgbClr val="FFFF00"/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2DA-4490-8569-12D1E5D8E77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>
                  <a:lumMod val="75000"/>
                  <a:alpha val="8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82DA-4490-8569-12D1E5D8E77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alpha val="8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2DA-4490-8569-12D1E5D8E77C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>
                  <a:alpha val="85000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82DA-4490-8569-12D1E5D8E77C}"/>
              </c:ext>
            </c:extLst>
          </c:dPt>
          <c:dPt>
            <c:idx val="4"/>
            <c:invertIfNegative val="0"/>
            <c:bubble3D val="0"/>
            <c:spPr>
              <a:solidFill>
                <a:schemeClr val="bg2">
                  <a:alpha val="85000"/>
                </a:scheme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2DA-4490-8569-12D1E5D8E77C}"/>
              </c:ext>
            </c:extLst>
          </c:dPt>
          <c:dPt>
            <c:idx val="5"/>
            <c:invertIfNegative val="0"/>
            <c:bubble3D val="0"/>
            <c:spPr>
              <a:solidFill>
                <a:srgbClr val="7030A0">
                  <a:alpha val="85000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82DA-4490-8569-12D1E5D8E77C}"/>
              </c:ext>
            </c:extLst>
          </c:dPt>
          <c:dPt>
            <c:idx val="6"/>
            <c:invertIfNegative val="0"/>
            <c:bubble3D val="0"/>
            <c:spPr>
              <a:solidFill>
                <a:srgbClr val="0C0CDA">
                  <a:alpha val="84706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2DA-4490-8569-12D1E5D8E77C}"/>
              </c:ext>
            </c:extLst>
          </c:dPt>
          <c:dPt>
            <c:idx val="7"/>
            <c:invertIfNegative val="0"/>
            <c:bubble3D val="0"/>
            <c:spPr>
              <a:solidFill>
                <a:srgbClr val="00B0F0">
                  <a:alpha val="85000"/>
                </a:srgbClr>
              </a:solidFill>
              <a:ln w="9525" cap="flat" cmpd="sng" algn="ctr">
                <a:solidFill>
                  <a:schemeClr val="accent1">
                    <a:lumMod val="75000"/>
                  </a:schemeClr>
                </a:solidFill>
                <a:round/>
              </a:ln>
              <a:effectLst/>
              <a:sp3d contourW="9525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82DA-4490-8569-12D1E5D8E77C}"/>
              </c:ext>
            </c:extLst>
          </c:dPt>
          <c:cat>
            <c:strRef>
              <c:f>DASHBOARD!$J$4:$J$12</c:f>
              <c:strCache>
                <c:ptCount val="8"/>
                <c:pt idx="0">
                  <c:v>Bauru</c:v>
                </c:pt>
                <c:pt idx="1">
                  <c:v>Campinas</c:v>
                </c:pt>
                <c:pt idx="2">
                  <c:v>Piracicaba</c:v>
                </c:pt>
                <c:pt idx="3">
                  <c:v>Ribeirão Preto</c:v>
                </c:pt>
                <c:pt idx="4">
                  <c:v>Santos</c:v>
                </c:pt>
                <c:pt idx="5">
                  <c:v>São José dos Campos</c:v>
                </c:pt>
                <c:pt idx="6">
                  <c:v>São Paulo</c:v>
                </c:pt>
                <c:pt idx="7">
                  <c:v>Sorocaba</c:v>
                </c:pt>
              </c:strCache>
            </c:strRef>
          </c:cat>
          <c:val>
            <c:numRef>
              <c:f>DASHBOARD!$K$4:$K$12</c:f>
              <c:numCache>
                <c:formatCode>_-[$R$-416]\ * #,##0.00_-;\-[$R$-416]\ * #,##0.00_-;_-[$R$-416]\ * "-"??_-;_-@_-</c:formatCode>
                <c:ptCount val="8"/>
                <c:pt idx="0">
                  <c:v>150</c:v>
                </c:pt>
                <c:pt idx="1">
                  <c:v>216</c:v>
                </c:pt>
                <c:pt idx="2">
                  <c:v>127</c:v>
                </c:pt>
                <c:pt idx="3">
                  <c:v>195</c:v>
                </c:pt>
                <c:pt idx="4">
                  <c:v>206</c:v>
                </c:pt>
                <c:pt idx="5">
                  <c:v>170</c:v>
                </c:pt>
                <c:pt idx="6">
                  <c:v>183</c:v>
                </c:pt>
                <c:pt idx="7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DA-4490-8569-12D1E5D8E7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17938799"/>
        <c:axId val="1017939759"/>
        <c:axId val="0"/>
      </c:bar3DChart>
      <c:catAx>
        <c:axId val="1017938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cap="all" baseline="300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939759"/>
        <c:crosses val="autoZero"/>
        <c:auto val="1"/>
        <c:lblAlgn val="ctr"/>
        <c:lblOffset val="100"/>
        <c:noMultiLvlLbl val="0"/>
      </c:catAx>
      <c:valAx>
        <c:axId val="1017939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$-416]\ * #,##0.00_-;\-[$R$-416]\ * #,##0.00_-;_-[$R$-416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179387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[Controle_Administrativo_Logistica.xlsx]DASHBOARD!Tabela dinâmica5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Contagem</a:t>
            </a:r>
            <a:r>
              <a:rPr lang="en-US" sz="1600" b="1" baseline="0"/>
              <a:t> Total de Entregas por Transportadoras</a:t>
            </a:r>
            <a:endParaRPr lang="en-US" sz="1600" b="1"/>
          </a:p>
        </c:rich>
      </c:tx>
      <c:layout>
        <c:manualLayout>
          <c:xMode val="edge"/>
          <c:yMode val="edge"/>
          <c:x val="0.10963261823676999"/>
          <c:y val="6.5471816022997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DASHBOARD!$N$3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DASHBOARD!$M$4:$M$7</c:f>
              <c:strCache>
                <c:ptCount val="3"/>
                <c:pt idx="0">
                  <c:v>InteriorLog</c:v>
                </c:pt>
                <c:pt idx="1">
                  <c:v>LogExpress</c:v>
                </c:pt>
                <c:pt idx="2">
                  <c:v>RapidoSul</c:v>
                </c:pt>
              </c:strCache>
            </c:strRef>
          </c:cat>
          <c:val>
            <c:numRef>
              <c:f>DASHBOARD!$N$4:$N$7</c:f>
              <c:numCache>
                <c:formatCode>General</c:formatCode>
                <c:ptCount val="3"/>
                <c:pt idx="0">
                  <c:v>16</c:v>
                </c:pt>
                <c:pt idx="1">
                  <c:v>17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C-47D8-A959-645DE44751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60264895"/>
        <c:axId val="1060269695"/>
        <c:axId val="0"/>
      </c:bar3DChart>
      <c:catAx>
        <c:axId val="106026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0269695"/>
        <c:crosses val="autoZero"/>
        <c:auto val="1"/>
        <c:lblAlgn val="ctr"/>
        <c:lblOffset val="100"/>
        <c:noMultiLvlLbl val="0"/>
      </c:catAx>
      <c:valAx>
        <c:axId val="106026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6026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114301</xdr:colOff>
      <xdr:row>9</xdr:row>
      <xdr:rowOff>14285</xdr:rowOff>
    </xdr:from>
    <xdr:to>
      <xdr:col>1</xdr:col>
      <xdr:colOff>2200274</xdr:colOff>
      <xdr:row>33</xdr:row>
      <xdr:rowOff>85725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B447B2E-46E0-2054-976B-E3360E4E82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142875</xdr:colOff>
      <xdr:row>9</xdr:row>
      <xdr:rowOff>66675</xdr:rowOff>
    </xdr:from>
    <xdr:to>
      <xdr:col>4</xdr:col>
      <xdr:colOff>1971675</xdr:colOff>
      <xdr:row>33</xdr:row>
      <xdr:rowOff>142875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FB4846D-F065-4709-1E50-D12EC1E39A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114300</xdr:colOff>
      <xdr:row>9</xdr:row>
      <xdr:rowOff>47625</xdr:rowOff>
    </xdr:from>
    <xdr:to>
      <xdr:col>8</xdr:col>
      <xdr:colOff>9525</xdr:colOff>
      <xdr:row>33</xdr:row>
      <xdr:rowOff>104775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1520902-488D-3111-E06B-552A45FB81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209550</xdr:colOff>
      <xdr:row>12</xdr:row>
      <xdr:rowOff>90486</xdr:rowOff>
    </xdr:from>
    <xdr:to>
      <xdr:col>11</xdr:col>
      <xdr:colOff>0</xdr:colOff>
      <xdr:row>33</xdr:row>
      <xdr:rowOff>114299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25D274-B751-8837-BF73-0B3606139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152400</xdr:colOff>
      <xdr:row>7</xdr:row>
      <xdr:rowOff>95250</xdr:rowOff>
    </xdr:from>
    <xdr:to>
      <xdr:col>14</xdr:col>
      <xdr:colOff>38100</xdr:colOff>
      <xdr:row>33</xdr:row>
      <xdr:rowOff>142875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6E8AC98F-6A28-94F6-009F-C14E2DB2E8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" refreshedDate="46073.830256597219" createdVersion="8" refreshedVersion="8" minRefreshableVersion="3" recordCount="50" xr:uid="{35407D42-935C-44F3-91E2-1899805D64CB}">
  <cacheSource type="worksheet">
    <worksheetSource name="Tabela2[[CLIENTE]:[OBSERVAÇOES]]"/>
  </cacheSource>
  <cacheFields count="12">
    <cacheField name="CLIENTE" numFmtId="0">
      <sharedItems/>
    </cacheField>
    <cacheField name="CIDADE" numFmtId="0">
      <sharedItems/>
    </cacheField>
    <cacheField name="ESTADO" numFmtId="0">
      <sharedItems/>
    </cacheField>
    <cacheField name="DATA_PEDIDO" numFmtId="14">
      <sharedItems containsSemiMixedTypes="0" containsNonDate="0" containsDate="1" containsString="0" minDate="2026-03-01T00:00:00" maxDate="2026-04-20T00:00:00"/>
    </cacheField>
    <cacheField name="DATA_ENVIO" numFmtId="14">
      <sharedItems containsSemiMixedTypes="0" containsNonDate="0" containsDate="1" containsString="0" minDate="2026-03-02T00:00:00" maxDate="2026-04-21T00:00:00"/>
    </cacheField>
    <cacheField name="PRAZO_DIAS" numFmtId="0">
      <sharedItems containsSemiMixedTypes="0" containsString="0" containsNumber="1" containsInteger="1" minValue="2" maxValue="5"/>
    </cacheField>
    <cacheField name="DATA_PREVISTA" numFmtId="14">
      <sharedItems containsSemiMixedTypes="0" containsNonDate="0" containsDate="1" containsString="0" minDate="2026-03-05T00:00:00" maxDate="2026-05-01T00:00:00"/>
    </cacheField>
    <cacheField name="STATUS" numFmtId="0">
      <sharedItems count="4">
        <s v="Entregue"/>
        <s v="Em Transporte"/>
        <s v="Atrasado"/>
        <s v="Enviado"/>
      </sharedItems>
    </cacheField>
    <cacheField name="TRANSPORTADORA" numFmtId="0">
      <sharedItems/>
    </cacheField>
    <cacheField name="MARKTPLACE" numFmtId="0">
      <sharedItems/>
    </cacheField>
    <cacheField name="VALOR_FRETE" numFmtId="164">
      <sharedItems containsSemiMixedTypes="0" containsString="0" containsNumber="1" containsInteger="1" minValue="21" maxValue="36"/>
    </cacheField>
    <cacheField name="OBSERVAÇOES" numFmtId="0">
      <sharedItems count="19">
        <s v="Entrega realizada no prazo"/>
        <s v="Em rota de entrega"/>
        <s v="Trânsito intenso"/>
        <s v="Saiu do centro de distribuição"/>
        <s v="Entregue com assinatura"/>
        <s v="Em deslocamento"/>
        <s v="Entrega realizada"/>
        <s v="Cliente ausente"/>
        <s v="Entregue antes do prazo"/>
        <s v="Em trânsito"/>
        <s v="Aguardando atualização"/>
        <s v="Recebido pelo porteiro"/>
        <s v="Em rota"/>
        <s v="Entrega confirmada"/>
        <s v="Problema mecânico"/>
        <s v="Entregue no prazo"/>
        <s v="Saiu para transporte"/>
        <s v="Entregue normalmente"/>
        <s v="Entrega normalmen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ário" refreshedDate="46073.840638310183" createdVersion="8" refreshedVersion="8" minRefreshableVersion="3" recordCount="50" xr:uid="{C8130DC6-6D2C-4B73-9305-462D85D8EE13}">
  <cacheSource type="worksheet">
    <worksheetSource name="Tabela2"/>
  </cacheSource>
  <cacheFields count="15">
    <cacheField name="ID_PEDIDO" numFmtId="0">
      <sharedItems/>
    </cacheField>
    <cacheField name="CLIENTE" numFmtId="0">
      <sharedItems count="50">
        <s v="João Silva"/>
        <s v="Maria Oliveira"/>
        <s v="Carlos Souza"/>
        <s v="Ana Pereira"/>
        <s v="Lucas Almeida"/>
        <s v="Fernanda Lima"/>
        <s v="Rafael Costa"/>
        <s v="Juliana Rocha"/>
        <s v="Marcos Santos"/>
        <s v="Patricia Gomes"/>
        <s v="Bruno Martins"/>
        <s v="Camila Ferreira"/>
        <s v="Eduardo Barbosa"/>
        <s v="Larissa Mendes"/>
        <s v="Thiago Ribeiro"/>
        <s v="Amanda Silva"/>
        <s v="Gustavo Rocha"/>
        <s v="Beatriz Almeida"/>
        <s v="Felipe Souza"/>
        <s v="Daniela Costa"/>
        <s v="Mariana Teixeira"/>
        <s v="Rodrigo Campos"/>
        <s v="Letícia Santos"/>
        <s v="Vinicius Lopes"/>
        <s v="Carla Mendes"/>
        <s v="Igor Cardoso"/>
        <s v="Sabrina Rocha"/>
        <s v="Daniel Oliveira"/>
        <s v="Jéssica Alves"/>
        <s v="Fábio Ribeiro"/>
        <s v="Renata Castro"/>
        <s v="André Souza"/>
        <s v="Tatiane Gomes"/>
        <s v="Ricardo Lima"/>
        <s v="Paula Fernandes"/>
        <s v="Diego Silva"/>
        <s v="Camila Rodrigues"/>
        <s v="Alexandre Barbosa"/>
        <s v="Fernanda Santos"/>
        <s v="Bruno Rocha"/>
        <s v="Marina Carvalho"/>
        <s v="Gabriel Martins"/>
        <s v="Luana Souza"/>
        <s v="Mateus Almeida"/>
        <s v="Bianca Costa"/>
        <s v="Leandro Pereira"/>
        <s v="Aline Ribeiro"/>
        <s v="Vitor Oliveira"/>
        <s v="Juliana Lima"/>
        <s v="Larissa Santos"/>
      </sharedItems>
    </cacheField>
    <cacheField name="CIDADE" numFmtId="0">
      <sharedItems count="8">
        <s v="São Paulo"/>
        <s v="Campinas"/>
        <s v="Santos"/>
        <s v="Sorocaba"/>
        <s v="Ribeirão Preto"/>
        <s v="São José dos Campos"/>
        <s v="Bauru"/>
        <s v="Piracicaba"/>
      </sharedItems>
    </cacheField>
    <cacheField name="ESTADO" numFmtId="0">
      <sharedItems count="1">
        <s v="SP"/>
      </sharedItems>
    </cacheField>
    <cacheField name="DATA_PEDIDO" numFmtId="14">
      <sharedItems containsSemiMixedTypes="0" containsNonDate="0" containsDate="1" containsString="0" minDate="2026-03-01T00:00:00" maxDate="2026-04-20T00:00:00" count="50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</sharedItems>
      <fieldGroup par="14"/>
    </cacheField>
    <cacheField name="DATA_ENVIO" numFmtId="14">
      <sharedItems containsSemiMixedTypes="0" containsNonDate="0" containsDate="1" containsString="0" minDate="2026-03-02T00:00:00" maxDate="2026-04-21T00:00:00"/>
    </cacheField>
    <cacheField name="PRAZO_DIAS" numFmtId="0">
      <sharedItems containsSemiMixedTypes="0" containsString="0" containsNumber="1" containsInteger="1" minValue="2" maxValue="5"/>
    </cacheField>
    <cacheField name="DATA_PREVISTA" numFmtId="14">
      <sharedItems containsSemiMixedTypes="0" containsNonDate="0" containsDate="1" containsString="0" minDate="2026-03-05T00:00:00" maxDate="2026-05-01T00:00:00"/>
    </cacheField>
    <cacheField name="STATUS" numFmtId="0">
      <sharedItems/>
    </cacheField>
    <cacheField name="TRANSPORTADORA" numFmtId="0">
      <sharedItems count="3">
        <s v="LogExpress"/>
        <s v="RapidoSul"/>
        <s v="InteriorLog"/>
      </sharedItems>
    </cacheField>
    <cacheField name="MARKTPLACE" numFmtId="0">
      <sharedItems/>
    </cacheField>
    <cacheField name="VALOR_FRETE" numFmtId="164">
      <sharedItems containsSemiMixedTypes="0" containsString="0" containsNumber="1" containsInteger="1" minValue="21" maxValue="36"/>
    </cacheField>
    <cacheField name="OBSERVAÇOES" numFmtId="0">
      <sharedItems count="19">
        <s v="Entrega realizada no prazo"/>
        <s v="Em rota de entrega"/>
        <s v="Trânsito intenso"/>
        <s v="Saiu do centro de distribuição"/>
        <s v="Entregue com assinatura"/>
        <s v="Em deslocamento"/>
        <s v="Entrega realizada"/>
        <s v="Cliente ausente"/>
        <s v="Entregue antes do prazo"/>
        <s v="Em trânsito"/>
        <s v="Aguardando atualização"/>
        <s v="Recebido pelo porteiro"/>
        <s v="Em rota"/>
        <s v="Entrega confirmada"/>
        <s v="Problema mecânico"/>
        <s v="Entregue no prazo"/>
        <s v="Saiu para transporte"/>
        <s v="Entregue normalmente"/>
        <s v="Entrega normalmente"/>
      </sharedItems>
    </cacheField>
    <cacheField name="Dias (DATA_PEDIDO)" numFmtId="0" databaseField="0">
      <fieldGroup base="4">
        <rangePr groupBy="days" startDate="2026-03-01T00:00:00" endDate="2026-04-20T00:00:00"/>
        <groupItems count="368">
          <s v="&lt;01/03/2026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20/04/2026"/>
        </groupItems>
      </fieldGroup>
    </cacheField>
    <cacheField name="Meses (DATA_PEDIDO)" numFmtId="0" databaseField="0">
      <fieldGroup base="4">
        <rangePr groupBy="months" startDate="2026-03-01T00:00:00" endDate="2026-04-20T00:00:00"/>
        <groupItems count="14">
          <s v="&lt;01/03/2026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0/04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João Silva"/>
    <s v="São Paulo"/>
    <s v="SP"/>
    <d v="2026-03-01T00:00:00"/>
    <d v="2026-03-02T00:00:00"/>
    <n v="3"/>
    <d v="2026-03-05T00:00:00"/>
    <x v="0"/>
    <s v="LogExpress"/>
    <s v="Shopee"/>
    <n v="25"/>
    <x v="0"/>
  </r>
  <r>
    <s v="Maria Oliveira"/>
    <s v="Campinas"/>
    <s v="SP"/>
    <d v="2026-03-02T00:00:00"/>
    <d v="2026-03-03T00:00:00"/>
    <n v="4"/>
    <d v="2026-03-07T00:00:00"/>
    <x v="1"/>
    <s v="RapidoSul"/>
    <s v="Mercado Livre"/>
    <n v="32"/>
    <x v="1"/>
  </r>
  <r>
    <s v="Carlos Souza"/>
    <s v="Santos"/>
    <s v="SP"/>
    <d v="2026-03-03T00:00:00"/>
    <d v="2026-03-04T00:00:00"/>
    <n v="2"/>
    <d v="2026-03-06T00:00:00"/>
    <x v="2"/>
    <s v="LogExpress"/>
    <s v="AliExpress"/>
    <n v="28"/>
    <x v="2"/>
  </r>
  <r>
    <s v="Ana Pereira"/>
    <s v="Sorocaba"/>
    <s v="SP"/>
    <d v="2026-03-04T00:00:00"/>
    <d v="2026-03-05T00:00:00"/>
    <n v="3"/>
    <d v="2026-03-08T00:00:00"/>
    <x v="3"/>
    <s v="InteriorLog"/>
    <s v="Shopee"/>
    <n v="22"/>
    <x v="3"/>
  </r>
  <r>
    <s v="Lucas Almeida"/>
    <s v="Ribeirão Preto"/>
    <s v="SP"/>
    <d v="2026-03-05T00:00:00"/>
    <d v="2026-03-06T00:00:00"/>
    <n v="5"/>
    <d v="2026-03-11T00:00:00"/>
    <x v="0"/>
    <s v="RapidoSul"/>
    <s v="Shein"/>
    <n v="35"/>
    <x v="4"/>
  </r>
  <r>
    <s v="Fernanda Lima"/>
    <s v="São José dos Campos"/>
    <s v="SP"/>
    <d v="2026-03-06T00:00:00"/>
    <d v="2026-03-07T00:00:00"/>
    <n v="3"/>
    <d v="2026-03-10T00:00:00"/>
    <x v="1"/>
    <s v="LogExpress"/>
    <s v="Amazon"/>
    <n v="27"/>
    <x v="5"/>
  </r>
  <r>
    <s v="Rafael Costa"/>
    <s v="Bauru"/>
    <s v="SP"/>
    <d v="2026-03-07T00:00:00"/>
    <d v="2026-03-08T00:00:00"/>
    <n v="4"/>
    <d v="2026-03-12T00:00:00"/>
    <x v="0"/>
    <s v="InteriorLog"/>
    <s v="Magazine Luiza"/>
    <n v="30"/>
    <x v="6"/>
  </r>
  <r>
    <s v="Juliana Rocha"/>
    <s v="Piracicaba"/>
    <s v="SP"/>
    <d v="2026-03-08T00:00:00"/>
    <d v="2026-03-09T00:00:00"/>
    <n v="3"/>
    <d v="2026-03-12T00:00:00"/>
    <x v="2"/>
    <s v="RapidoSul"/>
    <s v="Mercado Livre"/>
    <n v="26"/>
    <x v="7"/>
  </r>
  <r>
    <s v="Marcos Santos"/>
    <s v="São Paulo"/>
    <s v="SP"/>
    <d v="2026-03-09T00:00:00"/>
    <d v="2026-03-10T00:00:00"/>
    <n v="2"/>
    <d v="2026-03-12T00:00:00"/>
    <x v="0"/>
    <s v="LogExpress"/>
    <s v="Shopee"/>
    <n v="24"/>
    <x v="8"/>
  </r>
  <r>
    <s v="Patricia Gomes"/>
    <s v="Campinas"/>
    <s v="SP"/>
    <d v="2026-03-10T00:00:00"/>
    <d v="2026-03-11T00:00:00"/>
    <n v="3"/>
    <d v="2026-03-14T00:00:00"/>
    <x v="1"/>
    <s v="InteriorLog"/>
    <s v="AliExpress"/>
    <n v="29"/>
    <x v="9"/>
  </r>
  <r>
    <s v="Bruno Martins"/>
    <s v="Santos"/>
    <s v="SP"/>
    <d v="2026-03-11T00:00:00"/>
    <d v="2026-03-12T00:00:00"/>
    <n v="4"/>
    <d v="2026-03-16T00:00:00"/>
    <x v="3"/>
    <s v="RapidoSul"/>
    <s v="Shein"/>
    <n v="33"/>
    <x v="10"/>
  </r>
  <r>
    <s v="Camila Ferreira"/>
    <s v="Sorocaba"/>
    <s v="SP"/>
    <d v="2026-03-12T00:00:00"/>
    <d v="2026-03-13T00:00:00"/>
    <n v="3"/>
    <d v="2026-03-16T00:00:00"/>
    <x v="0"/>
    <s v="LogExpress"/>
    <s v="Amazon"/>
    <n v="21"/>
    <x v="11"/>
  </r>
  <r>
    <s v="Eduardo Barbosa"/>
    <s v="Ribeirão Preto"/>
    <s v="SP"/>
    <d v="2026-03-13T00:00:00"/>
    <d v="2026-03-14T00:00:00"/>
    <n v="5"/>
    <d v="2026-03-19T00:00:00"/>
    <x v="1"/>
    <s v="InteriorLog"/>
    <s v="Shopee"/>
    <n v="36"/>
    <x v="12"/>
  </r>
  <r>
    <s v="Larissa Mendes"/>
    <s v="São José dos Campos"/>
    <s v="SP"/>
    <d v="2026-03-14T00:00:00"/>
    <d v="2026-03-15T00:00:00"/>
    <n v="3"/>
    <d v="2026-03-18T00:00:00"/>
    <x v="0"/>
    <s v="RapidoSul"/>
    <s v="Mercado Livre"/>
    <n v="28"/>
    <x v="13"/>
  </r>
  <r>
    <s v="Thiago Ribeiro"/>
    <s v="Bauru"/>
    <s v="SP"/>
    <d v="2026-03-15T00:00:00"/>
    <d v="2026-03-16T00:00:00"/>
    <n v="4"/>
    <d v="2026-03-20T00:00:00"/>
    <x v="2"/>
    <s v="LogExpress"/>
    <s v="AliExpress"/>
    <n v="31"/>
    <x v="14"/>
  </r>
  <r>
    <s v="Amanda Silva"/>
    <s v="Piracicaba"/>
    <s v="SP"/>
    <d v="2026-03-16T00:00:00"/>
    <d v="2026-03-17T00:00:00"/>
    <n v="3"/>
    <d v="2026-03-20T00:00:00"/>
    <x v="1"/>
    <s v="InteriorLog"/>
    <s v="Shopee"/>
    <n v="25"/>
    <x v="5"/>
  </r>
  <r>
    <s v="Gustavo Rocha"/>
    <s v="São Paulo"/>
    <s v="SP"/>
    <d v="2026-03-17T00:00:00"/>
    <d v="2026-03-18T00:00:00"/>
    <n v="2"/>
    <d v="2026-03-20T00:00:00"/>
    <x v="0"/>
    <s v="RapidoSul"/>
    <s v="Shein"/>
    <n v="23"/>
    <x v="15"/>
  </r>
  <r>
    <s v="Beatriz Almeida"/>
    <s v="Campinas"/>
    <s v="SP"/>
    <d v="2026-03-18T00:00:00"/>
    <d v="2026-03-19T00:00:00"/>
    <n v="4"/>
    <d v="2026-03-23T00:00:00"/>
    <x v="3"/>
    <s v="LogExpress"/>
    <s v="Amazon"/>
    <n v="34"/>
    <x v="16"/>
  </r>
  <r>
    <s v="Felipe Souza"/>
    <s v="Santos"/>
    <s v="SP"/>
    <d v="2026-03-19T00:00:00"/>
    <d v="2026-03-20T00:00:00"/>
    <n v="3"/>
    <d v="2026-03-23T00:00:00"/>
    <x v="1"/>
    <s v="InteriorLog"/>
    <s v="Magazine Luiza"/>
    <n v="27"/>
    <x v="9"/>
  </r>
  <r>
    <s v="Daniela Costa"/>
    <s v="Sorocaba"/>
    <s v="SP"/>
    <d v="2026-03-20T00:00:00"/>
    <d v="2026-03-21T00:00:00"/>
    <n v="3"/>
    <d v="2026-03-24T00:00:00"/>
    <x v="0"/>
    <s v="RapidoSul"/>
    <s v="Shopee"/>
    <n v="26"/>
    <x v="17"/>
  </r>
  <r>
    <s v="Mariana Teixeira"/>
    <s v="São Paulo"/>
    <s v="SP"/>
    <d v="2026-03-21T00:00:00"/>
    <d v="2026-03-22T00:00:00"/>
    <n v="3"/>
    <d v="2026-03-25T00:00:00"/>
    <x v="1"/>
    <s v="LogExpress"/>
    <s v="Mercado Livre"/>
    <n v="29"/>
    <x v="6"/>
  </r>
  <r>
    <s v="Rodrigo Campos"/>
    <s v="Campinas"/>
    <s v="SP"/>
    <d v="2026-03-22T00:00:00"/>
    <d v="2026-03-23T00:00:00"/>
    <n v="4"/>
    <d v="2026-03-27T00:00:00"/>
    <x v="3"/>
    <s v="InteriorLog"/>
    <s v="AliExpress"/>
    <n v="31"/>
    <x v="1"/>
  </r>
  <r>
    <s v="Letícia Santos"/>
    <s v="Santos"/>
    <s v="SP"/>
    <d v="2026-03-23T00:00:00"/>
    <d v="2026-03-24T00:00:00"/>
    <n v="2"/>
    <d v="2026-03-26T00:00:00"/>
    <x v="2"/>
    <s v="RapidoSul"/>
    <s v="Shein"/>
    <n v="28"/>
    <x v="2"/>
  </r>
  <r>
    <s v="Vinicius Lopes"/>
    <s v="Sorocaba"/>
    <s v="SP"/>
    <d v="2026-03-24T00:00:00"/>
    <d v="2026-03-25T00:00:00"/>
    <n v="3"/>
    <d v="2026-03-28T00:00:00"/>
    <x v="0"/>
    <s v="LogExpress"/>
    <s v="Shopee"/>
    <n v="25"/>
    <x v="3"/>
  </r>
  <r>
    <s v="Carla Mendes"/>
    <s v="Ribeirão Preto"/>
    <s v="SP"/>
    <d v="2026-03-25T00:00:00"/>
    <d v="2026-03-26T00:00:00"/>
    <n v="5"/>
    <d v="2026-03-31T00:00:00"/>
    <x v="1"/>
    <s v="InteriorLog"/>
    <s v="Amazon"/>
    <n v="35"/>
    <x v="4"/>
  </r>
  <r>
    <s v="Igor Cardoso"/>
    <s v="São José dos Campos"/>
    <s v="SP"/>
    <d v="2026-03-26T00:00:00"/>
    <d v="2026-03-27T00:00:00"/>
    <n v="3"/>
    <d v="2026-03-30T00:00:00"/>
    <x v="0"/>
    <s v="RapidoSul"/>
    <s v="Magazine Luiza"/>
    <n v="27"/>
    <x v="5"/>
  </r>
  <r>
    <s v="Sabrina Rocha"/>
    <s v="Bauru"/>
    <s v="SP"/>
    <d v="2026-03-27T00:00:00"/>
    <d v="2026-03-28T00:00:00"/>
    <n v="4"/>
    <d v="2026-04-01T00:00:00"/>
    <x v="2"/>
    <s v="LogExpress"/>
    <s v="Shopee"/>
    <n v="30"/>
    <x v="6"/>
  </r>
  <r>
    <s v="Daniel Oliveira"/>
    <s v="Piracicaba"/>
    <s v="SP"/>
    <d v="2026-03-28T00:00:00"/>
    <d v="2026-03-29T00:00:00"/>
    <n v="3"/>
    <d v="2026-03-31T00:00:00"/>
    <x v="0"/>
    <s v="InteriorLog"/>
    <s v="Mercado Livre"/>
    <n v="26"/>
    <x v="7"/>
  </r>
  <r>
    <s v="Jéssica Alves"/>
    <s v="São Paulo"/>
    <s v="SP"/>
    <d v="2026-03-29T00:00:00"/>
    <d v="2026-03-30T00:00:00"/>
    <n v="2"/>
    <d v="2026-04-01T00:00:00"/>
    <x v="1"/>
    <s v="RapidoSul"/>
    <s v="AliExpress"/>
    <n v="24"/>
    <x v="8"/>
  </r>
  <r>
    <s v="Fábio Ribeiro"/>
    <s v="Campinas"/>
    <s v="SP"/>
    <d v="2026-03-30T00:00:00"/>
    <d v="2026-03-31T00:00:00"/>
    <n v="3"/>
    <d v="2026-04-03T00:00:00"/>
    <x v="0"/>
    <s v="LogExpress"/>
    <s v="Shein"/>
    <n v="29"/>
    <x v="9"/>
  </r>
  <r>
    <s v="Renata Castro"/>
    <s v="Santos"/>
    <s v="SP"/>
    <d v="2026-03-31T00:00:00"/>
    <d v="2026-04-01T00:00:00"/>
    <n v="4"/>
    <d v="2026-04-05T00:00:00"/>
    <x v="1"/>
    <s v="InteriorLog"/>
    <s v="Shopee"/>
    <n v="33"/>
    <x v="10"/>
  </r>
  <r>
    <s v="André Souza"/>
    <s v="Sorocaba"/>
    <s v="SP"/>
    <d v="2026-04-01T00:00:00"/>
    <d v="2026-04-02T00:00:00"/>
    <n v="3"/>
    <d v="2026-04-06T00:00:00"/>
    <x v="2"/>
    <s v="RapidoSul"/>
    <s v="Amazon"/>
    <n v="21"/>
    <x v="11"/>
  </r>
  <r>
    <s v="Tatiane Gomes"/>
    <s v="Ribeirão Preto"/>
    <s v="SP"/>
    <d v="2026-04-02T00:00:00"/>
    <d v="2026-04-03T00:00:00"/>
    <n v="5"/>
    <d v="2026-04-07T00:00:00"/>
    <x v="3"/>
    <s v="LogExpress"/>
    <s v="Shopee"/>
    <n v="36"/>
    <x v="12"/>
  </r>
  <r>
    <s v="Ricardo Lima"/>
    <s v="São José dos Campos"/>
    <s v="SP"/>
    <d v="2026-04-03T00:00:00"/>
    <d v="2026-04-04T00:00:00"/>
    <n v="3"/>
    <d v="2026-04-09T00:00:00"/>
    <x v="0"/>
    <s v="InteriorLog"/>
    <s v="Mercado Livre"/>
    <n v="28"/>
    <x v="13"/>
  </r>
  <r>
    <s v="Paula Fernandes"/>
    <s v="Bauru"/>
    <s v="SP"/>
    <d v="2026-04-04T00:00:00"/>
    <d v="2026-04-05T00:00:00"/>
    <n v="4"/>
    <d v="2026-04-10T00:00:00"/>
    <x v="1"/>
    <s v="RapidoSul"/>
    <s v="AliExpress"/>
    <n v="31"/>
    <x v="14"/>
  </r>
  <r>
    <s v="Diego Silva"/>
    <s v="Piracicaba"/>
    <s v="SP"/>
    <d v="2026-04-05T00:00:00"/>
    <d v="2026-04-06T00:00:00"/>
    <n v="3"/>
    <d v="2026-04-11T00:00:00"/>
    <x v="0"/>
    <s v="LogExpress"/>
    <s v="Shein"/>
    <n v="25"/>
    <x v="5"/>
  </r>
  <r>
    <s v="Camila Rodrigues"/>
    <s v="São Paulo"/>
    <s v="SP"/>
    <d v="2026-04-06T00:00:00"/>
    <d v="2026-04-07T00:00:00"/>
    <n v="2"/>
    <d v="2026-04-13T00:00:00"/>
    <x v="2"/>
    <s v="InteriorLog"/>
    <s v="Shopee"/>
    <n v="23"/>
    <x v="15"/>
  </r>
  <r>
    <s v="Alexandre Barbosa"/>
    <s v="Campinas"/>
    <s v="SP"/>
    <d v="2026-04-07T00:00:00"/>
    <d v="2026-04-08T00:00:00"/>
    <n v="4"/>
    <d v="2026-04-14T00:00:00"/>
    <x v="1"/>
    <s v="RapidoSul"/>
    <s v="Amazon"/>
    <n v="34"/>
    <x v="16"/>
  </r>
  <r>
    <s v="Fernanda Santos"/>
    <s v="Santos"/>
    <s v="SP"/>
    <d v="2026-04-08T00:00:00"/>
    <d v="2026-04-09T00:00:00"/>
    <n v="3"/>
    <d v="2026-04-15T00:00:00"/>
    <x v="0"/>
    <s v="LogExpress"/>
    <s v="Magazine Luiza"/>
    <n v="27"/>
    <x v="9"/>
  </r>
  <r>
    <s v="Bruno Rocha"/>
    <s v="Sorocaba"/>
    <s v="SP"/>
    <d v="2026-04-09T00:00:00"/>
    <d v="2026-04-10T00:00:00"/>
    <n v="3"/>
    <d v="2026-04-16T00:00:00"/>
    <x v="1"/>
    <s v="InteriorLog"/>
    <s v="Shopee"/>
    <n v="26"/>
    <x v="18"/>
  </r>
  <r>
    <s v="Marina Carvalho"/>
    <s v="Ribeirão Preto"/>
    <s v="SP"/>
    <d v="2026-04-10T00:00:00"/>
    <d v="2026-04-11T00:00:00"/>
    <n v="3"/>
    <d v="2026-04-18T00:00:00"/>
    <x v="0"/>
    <s v="RapidoSul"/>
    <s v="Mercado Livre"/>
    <n v="29"/>
    <x v="6"/>
  </r>
  <r>
    <s v="Gabriel Martins"/>
    <s v="São José dos Campos"/>
    <s v="SP"/>
    <d v="2026-04-11T00:00:00"/>
    <d v="2026-04-12T00:00:00"/>
    <n v="4"/>
    <d v="2026-04-19T00:00:00"/>
    <x v="1"/>
    <s v="LogExpress"/>
    <s v="AliExpress"/>
    <n v="31"/>
    <x v="1"/>
  </r>
  <r>
    <s v="Luana Souza"/>
    <s v="Bauru"/>
    <s v="SP"/>
    <d v="2026-04-12T00:00:00"/>
    <d v="2026-04-13T00:00:00"/>
    <n v="2"/>
    <d v="2026-04-20T00:00:00"/>
    <x v="2"/>
    <s v="InteriorLog"/>
    <s v="Shein"/>
    <n v="28"/>
    <x v="2"/>
  </r>
  <r>
    <s v="Mateus Almeida"/>
    <s v="Piracicaba"/>
    <s v="SP"/>
    <d v="2026-04-13T00:00:00"/>
    <d v="2026-04-14T00:00:00"/>
    <n v="3"/>
    <d v="2026-04-22T00:00:00"/>
    <x v="0"/>
    <s v="RapidoSul"/>
    <s v="Shopee"/>
    <n v="25"/>
    <x v="3"/>
  </r>
  <r>
    <s v="Bianca Costa"/>
    <s v="São Paulo"/>
    <s v="SP"/>
    <d v="2026-04-14T00:00:00"/>
    <d v="2026-04-15T00:00:00"/>
    <n v="5"/>
    <d v="2026-04-23T00:00:00"/>
    <x v="1"/>
    <s v="LogExpress"/>
    <s v="Amazon"/>
    <n v="35"/>
    <x v="4"/>
  </r>
  <r>
    <s v="Leandro Pereira"/>
    <s v="Campinas"/>
    <s v="SP"/>
    <d v="2026-04-15T00:00:00"/>
    <d v="2026-04-16T00:00:00"/>
    <n v="3"/>
    <d v="2026-04-24T00:00:00"/>
    <x v="3"/>
    <s v="InteriorLog"/>
    <s v="Magazine Luiza"/>
    <n v="27"/>
    <x v="5"/>
  </r>
  <r>
    <s v="Aline Ribeiro"/>
    <s v="Santos"/>
    <s v="SP"/>
    <d v="2026-04-16T00:00:00"/>
    <d v="2026-04-17T00:00:00"/>
    <n v="4"/>
    <d v="2026-04-26T00:00:00"/>
    <x v="0"/>
    <s v="RapidoSul"/>
    <s v="Shopee"/>
    <n v="30"/>
    <x v="6"/>
  </r>
  <r>
    <s v="Vitor Oliveira"/>
    <s v="Sorocaba"/>
    <s v="SP"/>
    <d v="2026-04-17T00:00:00"/>
    <d v="2026-04-18T00:00:00"/>
    <n v="3"/>
    <d v="2026-04-27T00:00:00"/>
    <x v="1"/>
    <s v="LogExpress"/>
    <s v="Mercado Livre"/>
    <n v="26"/>
    <x v="7"/>
  </r>
  <r>
    <s v="Juliana Lima"/>
    <s v="Ribeirão Preto"/>
    <s v="SP"/>
    <d v="2026-04-18T00:00:00"/>
    <d v="2026-04-19T00:00:00"/>
    <n v="2"/>
    <d v="2026-04-28T00:00:00"/>
    <x v="0"/>
    <s v="InteriorLog"/>
    <s v="AliExpress"/>
    <n v="24"/>
    <x v="8"/>
  </r>
  <r>
    <s v="Larissa Santos"/>
    <s v="São José dos Campos"/>
    <s v="SP"/>
    <d v="2026-04-19T00:00:00"/>
    <d v="2026-04-20T00:00:00"/>
    <n v="3"/>
    <d v="2026-04-30T00:00:00"/>
    <x v="2"/>
    <s v="RapidoSul"/>
    <s v="Shein"/>
    <n v="29"/>
    <x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PED001"/>
    <x v="0"/>
    <x v="0"/>
    <x v="0"/>
    <x v="0"/>
    <d v="2026-03-02T00:00:00"/>
    <n v="3"/>
    <d v="2026-03-05T00:00:00"/>
    <s v="Entregue"/>
    <x v="0"/>
    <s v="Shopee"/>
    <n v="25"/>
    <x v="0"/>
  </r>
  <r>
    <s v="PED002"/>
    <x v="1"/>
    <x v="1"/>
    <x v="0"/>
    <x v="1"/>
    <d v="2026-03-03T00:00:00"/>
    <n v="4"/>
    <d v="2026-03-07T00:00:00"/>
    <s v="Em Transporte"/>
    <x v="1"/>
    <s v="Mercado Livre"/>
    <n v="32"/>
    <x v="1"/>
  </r>
  <r>
    <s v="PED003"/>
    <x v="2"/>
    <x v="2"/>
    <x v="0"/>
    <x v="2"/>
    <d v="2026-03-04T00:00:00"/>
    <n v="2"/>
    <d v="2026-03-06T00:00:00"/>
    <s v="Atrasado"/>
    <x v="0"/>
    <s v="AliExpress"/>
    <n v="28"/>
    <x v="2"/>
  </r>
  <r>
    <s v="PED004"/>
    <x v="3"/>
    <x v="3"/>
    <x v="0"/>
    <x v="3"/>
    <d v="2026-03-05T00:00:00"/>
    <n v="3"/>
    <d v="2026-03-08T00:00:00"/>
    <s v="Enviado"/>
    <x v="2"/>
    <s v="Shopee"/>
    <n v="22"/>
    <x v="3"/>
  </r>
  <r>
    <s v="PED005"/>
    <x v="4"/>
    <x v="4"/>
    <x v="0"/>
    <x v="4"/>
    <d v="2026-03-06T00:00:00"/>
    <n v="5"/>
    <d v="2026-03-11T00:00:00"/>
    <s v="Entregue"/>
    <x v="1"/>
    <s v="Shein"/>
    <n v="35"/>
    <x v="4"/>
  </r>
  <r>
    <s v="PED006"/>
    <x v="5"/>
    <x v="5"/>
    <x v="0"/>
    <x v="5"/>
    <d v="2026-03-07T00:00:00"/>
    <n v="3"/>
    <d v="2026-03-10T00:00:00"/>
    <s v="Em Transporte"/>
    <x v="0"/>
    <s v="Amazon"/>
    <n v="27"/>
    <x v="5"/>
  </r>
  <r>
    <s v="PED007"/>
    <x v="6"/>
    <x v="6"/>
    <x v="0"/>
    <x v="6"/>
    <d v="2026-03-08T00:00:00"/>
    <n v="4"/>
    <d v="2026-03-12T00:00:00"/>
    <s v="Entregue"/>
    <x v="2"/>
    <s v="Magazine Luiza"/>
    <n v="30"/>
    <x v="6"/>
  </r>
  <r>
    <s v="PED008"/>
    <x v="7"/>
    <x v="7"/>
    <x v="0"/>
    <x v="7"/>
    <d v="2026-03-09T00:00:00"/>
    <n v="3"/>
    <d v="2026-03-12T00:00:00"/>
    <s v="Atrasado"/>
    <x v="1"/>
    <s v="Mercado Livre"/>
    <n v="26"/>
    <x v="7"/>
  </r>
  <r>
    <s v="PED009"/>
    <x v="8"/>
    <x v="0"/>
    <x v="0"/>
    <x v="8"/>
    <d v="2026-03-10T00:00:00"/>
    <n v="2"/>
    <d v="2026-03-12T00:00:00"/>
    <s v="Entregue"/>
    <x v="0"/>
    <s v="Shopee"/>
    <n v="24"/>
    <x v="8"/>
  </r>
  <r>
    <s v="PED010"/>
    <x v="9"/>
    <x v="1"/>
    <x v="0"/>
    <x v="9"/>
    <d v="2026-03-11T00:00:00"/>
    <n v="3"/>
    <d v="2026-03-14T00:00:00"/>
    <s v="Em Transporte"/>
    <x v="2"/>
    <s v="AliExpress"/>
    <n v="29"/>
    <x v="9"/>
  </r>
  <r>
    <s v="PED011"/>
    <x v="10"/>
    <x v="2"/>
    <x v="0"/>
    <x v="10"/>
    <d v="2026-03-12T00:00:00"/>
    <n v="4"/>
    <d v="2026-03-16T00:00:00"/>
    <s v="Enviado"/>
    <x v="1"/>
    <s v="Shein"/>
    <n v="33"/>
    <x v="10"/>
  </r>
  <r>
    <s v="PED012"/>
    <x v="11"/>
    <x v="3"/>
    <x v="0"/>
    <x v="11"/>
    <d v="2026-03-13T00:00:00"/>
    <n v="3"/>
    <d v="2026-03-16T00:00:00"/>
    <s v="Entregue"/>
    <x v="0"/>
    <s v="Amazon"/>
    <n v="21"/>
    <x v="11"/>
  </r>
  <r>
    <s v="PED013"/>
    <x v="12"/>
    <x v="4"/>
    <x v="0"/>
    <x v="12"/>
    <d v="2026-03-14T00:00:00"/>
    <n v="5"/>
    <d v="2026-03-19T00:00:00"/>
    <s v="Em Transporte"/>
    <x v="2"/>
    <s v="Shopee"/>
    <n v="36"/>
    <x v="12"/>
  </r>
  <r>
    <s v="PED014"/>
    <x v="13"/>
    <x v="5"/>
    <x v="0"/>
    <x v="13"/>
    <d v="2026-03-15T00:00:00"/>
    <n v="3"/>
    <d v="2026-03-18T00:00:00"/>
    <s v="Entregue"/>
    <x v="1"/>
    <s v="Mercado Livre"/>
    <n v="28"/>
    <x v="13"/>
  </r>
  <r>
    <s v="PED015"/>
    <x v="14"/>
    <x v="6"/>
    <x v="0"/>
    <x v="14"/>
    <d v="2026-03-16T00:00:00"/>
    <n v="4"/>
    <d v="2026-03-20T00:00:00"/>
    <s v="Atrasado"/>
    <x v="0"/>
    <s v="AliExpress"/>
    <n v="31"/>
    <x v="14"/>
  </r>
  <r>
    <s v="PED016"/>
    <x v="15"/>
    <x v="7"/>
    <x v="0"/>
    <x v="15"/>
    <d v="2026-03-17T00:00:00"/>
    <n v="3"/>
    <d v="2026-03-20T00:00:00"/>
    <s v="Em Transporte"/>
    <x v="2"/>
    <s v="Shopee"/>
    <n v="25"/>
    <x v="5"/>
  </r>
  <r>
    <s v="PED017"/>
    <x v="16"/>
    <x v="0"/>
    <x v="0"/>
    <x v="16"/>
    <d v="2026-03-18T00:00:00"/>
    <n v="2"/>
    <d v="2026-03-20T00:00:00"/>
    <s v="Entregue"/>
    <x v="1"/>
    <s v="Shein"/>
    <n v="23"/>
    <x v="15"/>
  </r>
  <r>
    <s v="PED018"/>
    <x v="17"/>
    <x v="1"/>
    <x v="0"/>
    <x v="17"/>
    <d v="2026-03-19T00:00:00"/>
    <n v="4"/>
    <d v="2026-03-23T00:00:00"/>
    <s v="Enviado"/>
    <x v="0"/>
    <s v="Amazon"/>
    <n v="34"/>
    <x v="16"/>
  </r>
  <r>
    <s v="PED019"/>
    <x v="18"/>
    <x v="2"/>
    <x v="0"/>
    <x v="18"/>
    <d v="2026-03-20T00:00:00"/>
    <n v="3"/>
    <d v="2026-03-23T00:00:00"/>
    <s v="Em Transporte"/>
    <x v="2"/>
    <s v="Magazine Luiza"/>
    <n v="27"/>
    <x v="9"/>
  </r>
  <r>
    <s v="PED020"/>
    <x v="19"/>
    <x v="3"/>
    <x v="0"/>
    <x v="19"/>
    <d v="2026-03-21T00:00:00"/>
    <n v="3"/>
    <d v="2026-03-24T00:00:00"/>
    <s v="Entregue"/>
    <x v="1"/>
    <s v="Shopee"/>
    <n v="26"/>
    <x v="17"/>
  </r>
  <r>
    <s v="PED021"/>
    <x v="20"/>
    <x v="0"/>
    <x v="0"/>
    <x v="20"/>
    <d v="2026-03-22T00:00:00"/>
    <n v="3"/>
    <d v="2026-03-25T00:00:00"/>
    <s v="Em Transporte"/>
    <x v="0"/>
    <s v="Mercado Livre"/>
    <n v="29"/>
    <x v="6"/>
  </r>
  <r>
    <s v="PED022"/>
    <x v="21"/>
    <x v="1"/>
    <x v="0"/>
    <x v="21"/>
    <d v="2026-03-23T00:00:00"/>
    <n v="4"/>
    <d v="2026-03-27T00:00:00"/>
    <s v="Enviado"/>
    <x v="2"/>
    <s v="AliExpress"/>
    <n v="31"/>
    <x v="1"/>
  </r>
  <r>
    <s v="PED023"/>
    <x v="22"/>
    <x v="2"/>
    <x v="0"/>
    <x v="22"/>
    <d v="2026-03-24T00:00:00"/>
    <n v="2"/>
    <d v="2026-03-26T00:00:00"/>
    <s v="Atrasado"/>
    <x v="1"/>
    <s v="Shein"/>
    <n v="28"/>
    <x v="2"/>
  </r>
  <r>
    <s v="PED024"/>
    <x v="23"/>
    <x v="3"/>
    <x v="0"/>
    <x v="23"/>
    <d v="2026-03-25T00:00:00"/>
    <n v="3"/>
    <d v="2026-03-28T00:00:00"/>
    <s v="Entregue"/>
    <x v="0"/>
    <s v="Shopee"/>
    <n v="25"/>
    <x v="3"/>
  </r>
  <r>
    <s v="PED025"/>
    <x v="24"/>
    <x v="4"/>
    <x v="0"/>
    <x v="24"/>
    <d v="2026-03-26T00:00:00"/>
    <n v="5"/>
    <d v="2026-03-31T00:00:00"/>
    <s v="Em Transporte"/>
    <x v="2"/>
    <s v="Amazon"/>
    <n v="35"/>
    <x v="4"/>
  </r>
  <r>
    <s v="PED026"/>
    <x v="25"/>
    <x v="5"/>
    <x v="0"/>
    <x v="25"/>
    <d v="2026-03-27T00:00:00"/>
    <n v="3"/>
    <d v="2026-03-30T00:00:00"/>
    <s v="Entregue"/>
    <x v="1"/>
    <s v="Magazine Luiza"/>
    <n v="27"/>
    <x v="5"/>
  </r>
  <r>
    <s v="PED027"/>
    <x v="26"/>
    <x v="6"/>
    <x v="0"/>
    <x v="26"/>
    <d v="2026-03-28T00:00:00"/>
    <n v="4"/>
    <d v="2026-04-01T00:00:00"/>
    <s v="Atrasado"/>
    <x v="0"/>
    <s v="Shopee"/>
    <n v="30"/>
    <x v="6"/>
  </r>
  <r>
    <s v="PED028"/>
    <x v="27"/>
    <x v="7"/>
    <x v="0"/>
    <x v="27"/>
    <d v="2026-03-29T00:00:00"/>
    <n v="3"/>
    <d v="2026-03-31T00:00:00"/>
    <s v="Entregue"/>
    <x v="2"/>
    <s v="Mercado Livre"/>
    <n v="26"/>
    <x v="7"/>
  </r>
  <r>
    <s v="PED029"/>
    <x v="28"/>
    <x v="0"/>
    <x v="0"/>
    <x v="28"/>
    <d v="2026-03-30T00:00:00"/>
    <n v="2"/>
    <d v="2026-04-01T00:00:00"/>
    <s v="Em Transporte"/>
    <x v="1"/>
    <s v="AliExpress"/>
    <n v="24"/>
    <x v="8"/>
  </r>
  <r>
    <s v="PED030"/>
    <x v="29"/>
    <x v="1"/>
    <x v="0"/>
    <x v="29"/>
    <d v="2026-03-31T00:00:00"/>
    <n v="3"/>
    <d v="2026-04-03T00:00:00"/>
    <s v="Entregue"/>
    <x v="0"/>
    <s v="Shein"/>
    <n v="29"/>
    <x v="9"/>
  </r>
  <r>
    <s v="PED031"/>
    <x v="30"/>
    <x v="2"/>
    <x v="0"/>
    <x v="30"/>
    <d v="2026-04-01T00:00:00"/>
    <n v="4"/>
    <d v="2026-04-05T00:00:00"/>
    <s v="Em Transporte"/>
    <x v="2"/>
    <s v="Shopee"/>
    <n v="33"/>
    <x v="10"/>
  </r>
  <r>
    <s v="PED032"/>
    <x v="31"/>
    <x v="3"/>
    <x v="0"/>
    <x v="31"/>
    <d v="2026-04-02T00:00:00"/>
    <n v="3"/>
    <d v="2026-04-06T00:00:00"/>
    <s v="Atrasado"/>
    <x v="1"/>
    <s v="Amazon"/>
    <n v="21"/>
    <x v="11"/>
  </r>
  <r>
    <s v="PED033"/>
    <x v="32"/>
    <x v="4"/>
    <x v="0"/>
    <x v="32"/>
    <d v="2026-04-03T00:00:00"/>
    <n v="5"/>
    <d v="2026-04-07T00:00:00"/>
    <s v="Enviado"/>
    <x v="0"/>
    <s v="Shopee"/>
    <n v="36"/>
    <x v="12"/>
  </r>
  <r>
    <s v="PED034"/>
    <x v="33"/>
    <x v="5"/>
    <x v="0"/>
    <x v="33"/>
    <d v="2026-04-04T00:00:00"/>
    <n v="3"/>
    <d v="2026-04-09T00:00:00"/>
    <s v="Entregue"/>
    <x v="2"/>
    <s v="Mercado Livre"/>
    <n v="28"/>
    <x v="13"/>
  </r>
  <r>
    <s v="PED035"/>
    <x v="34"/>
    <x v="6"/>
    <x v="0"/>
    <x v="34"/>
    <d v="2026-04-05T00:00:00"/>
    <n v="4"/>
    <d v="2026-04-10T00:00:00"/>
    <s v="Em Transporte"/>
    <x v="1"/>
    <s v="AliExpress"/>
    <n v="31"/>
    <x v="14"/>
  </r>
  <r>
    <s v="PED036"/>
    <x v="35"/>
    <x v="7"/>
    <x v="0"/>
    <x v="35"/>
    <d v="2026-04-06T00:00:00"/>
    <n v="3"/>
    <d v="2026-04-11T00:00:00"/>
    <s v="Entregue"/>
    <x v="0"/>
    <s v="Shein"/>
    <n v="25"/>
    <x v="5"/>
  </r>
  <r>
    <s v="PED037"/>
    <x v="36"/>
    <x v="0"/>
    <x v="0"/>
    <x v="36"/>
    <d v="2026-04-07T00:00:00"/>
    <n v="2"/>
    <d v="2026-04-13T00:00:00"/>
    <s v="Atrasado"/>
    <x v="2"/>
    <s v="Shopee"/>
    <n v="23"/>
    <x v="15"/>
  </r>
  <r>
    <s v="PED038"/>
    <x v="37"/>
    <x v="1"/>
    <x v="0"/>
    <x v="37"/>
    <d v="2026-04-08T00:00:00"/>
    <n v="4"/>
    <d v="2026-04-14T00:00:00"/>
    <s v="Em Transporte"/>
    <x v="1"/>
    <s v="Amazon"/>
    <n v="34"/>
    <x v="16"/>
  </r>
  <r>
    <s v="PED039"/>
    <x v="38"/>
    <x v="2"/>
    <x v="0"/>
    <x v="38"/>
    <d v="2026-04-09T00:00:00"/>
    <n v="3"/>
    <d v="2026-04-15T00:00:00"/>
    <s v="Entregue"/>
    <x v="0"/>
    <s v="Magazine Luiza"/>
    <n v="27"/>
    <x v="9"/>
  </r>
  <r>
    <s v="PED040"/>
    <x v="39"/>
    <x v="3"/>
    <x v="0"/>
    <x v="39"/>
    <d v="2026-04-10T00:00:00"/>
    <n v="3"/>
    <d v="2026-04-16T00:00:00"/>
    <s v="Em Transporte"/>
    <x v="2"/>
    <s v="Shopee"/>
    <n v="26"/>
    <x v="18"/>
  </r>
  <r>
    <s v="PED041"/>
    <x v="40"/>
    <x v="4"/>
    <x v="0"/>
    <x v="40"/>
    <d v="2026-04-11T00:00:00"/>
    <n v="3"/>
    <d v="2026-04-18T00:00:00"/>
    <s v="Entregue"/>
    <x v="1"/>
    <s v="Mercado Livre"/>
    <n v="29"/>
    <x v="6"/>
  </r>
  <r>
    <s v="PED042"/>
    <x v="41"/>
    <x v="5"/>
    <x v="0"/>
    <x v="41"/>
    <d v="2026-04-12T00:00:00"/>
    <n v="4"/>
    <d v="2026-04-19T00:00:00"/>
    <s v="Em Transporte"/>
    <x v="0"/>
    <s v="AliExpress"/>
    <n v="31"/>
    <x v="1"/>
  </r>
  <r>
    <s v="PED043"/>
    <x v="42"/>
    <x v="6"/>
    <x v="0"/>
    <x v="42"/>
    <d v="2026-04-13T00:00:00"/>
    <n v="2"/>
    <d v="2026-04-20T00:00:00"/>
    <s v="Atrasado"/>
    <x v="2"/>
    <s v="Shein"/>
    <n v="28"/>
    <x v="2"/>
  </r>
  <r>
    <s v="PED044"/>
    <x v="43"/>
    <x v="7"/>
    <x v="0"/>
    <x v="43"/>
    <d v="2026-04-14T00:00:00"/>
    <n v="3"/>
    <d v="2026-04-22T00:00:00"/>
    <s v="Entregue"/>
    <x v="1"/>
    <s v="Shopee"/>
    <n v="25"/>
    <x v="3"/>
  </r>
  <r>
    <s v="PED045"/>
    <x v="44"/>
    <x v="0"/>
    <x v="0"/>
    <x v="44"/>
    <d v="2026-04-15T00:00:00"/>
    <n v="5"/>
    <d v="2026-04-23T00:00:00"/>
    <s v="Em Transporte"/>
    <x v="0"/>
    <s v="Amazon"/>
    <n v="35"/>
    <x v="4"/>
  </r>
  <r>
    <s v="PED046"/>
    <x v="45"/>
    <x v="1"/>
    <x v="0"/>
    <x v="45"/>
    <d v="2026-04-16T00:00:00"/>
    <n v="3"/>
    <d v="2026-04-24T00:00:00"/>
    <s v="Enviado"/>
    <x v="2"/>
    <s v="Magazine Luiza"/>
    <n v="27"/>
    <x v="5"/>
  </r>
  <r>
    <s v="PED047"/>
    <x v="46"/>
    <x v="2"/>
    <x v="0"/>
    <x v="46"/>
    <d v="2026-04-17T00:00:00"/>
    <n v="4"/>
    <d v="2026-04-26T00:00:00"/>
    <s v="Entregue"/>
    <x v="1"/>
    <s v="Shopee"/>
    <n v="30"/>
    <x v="6"/>
  </r>
  <r>
    <s v="PED048"/>
    <x v="47"/>
    <x v="3"/>
    <x v="0"/>
    <x v="47"/>
    <d v="2026-04-18T00:00:00"/>
    <n v="3"/>
    <d v="2026-04-27T00:00:00"/>
    <s v="Em Transporte"/>
    <x v="0"/>
    <s v="Mercado Livre"/>
    <n v="26"/>
    <x v="7"/>
  </r>
  <r>
    <s v="PED049"/>
    <x v="48"/>
    <x v="4"/>
    <x v="0"/>
    <x v="48"/>
    <d v="2026-04-19T00:00:00"/>
    <n v="2"/>
    <d v="2026-04-28T00:00:00"/>
    <s v="Entregue"/>
    <x v="2"/>
    <s v="AliExpress"/>
    <n v="24"/>
    <x v="8"/>
  </r>
  <r>
    <s v="PED050"/>
    <x v="49"/>
    <x v="5"/>
    <x v="0"/>
    <x v="49"/>
    <d v="2026-04-20T00:00:00"/>
    <n v="3"/>
    <d v="2026-04-30T00:00:00"/>
    <s v="Atrasado"/>
    <x v="1"/>
    <s v="Shein"/>
    <n v="29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1605C-FCA9-4E50-835B-7F3D7CB80942}" name="Tabela dinâmica5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Descrição">
  <location ref="M3:N7" firstHeaderRow="1" firstDataRow="1" firstDataCol="1"/>
  <pivotFields count="15">
    <pivotField showAll="0"/>
    <pivotField showAll="0"/>
    <pivotField showAll="0"/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4" showAll="0"/>
    <pivotField showAll="0"/>
    <pivotField numFmtId="14"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dataField="1" numFmtId="164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Entregas por Transportadora" fld="11" subtotal="count" baseField="9" baseItem="0"/>
  </dataFields>
  <formats count="4">
    <format dxfId="32">
      <pivotArea field="9" type="button" dataOnly="0" labelOnly="1" outline="0" axis="axisRow" fieldPosition="0"/>
    </format>
    <format dxfId="31">
      <pivotArea dataOnly="0" labelOnly="1" outline="0" axis="axisValues" fieldPosition="0"/>
    </format>
    <format dxfId="29">
      <pivotArea grandRow="1" outline="0" collapsedLevelsAreSubtotals="1" fieldPosition="0"/>
    </format>
    <format dxfId="28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E3257-C0BF-4E49-833B-1D1EB2FC17DC}" name="Tabela dinâmica4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Descrição">
  <location ref="J3:K12" firstHeaderRow="1" firstDataRow="1" firstDataCol="1"/>
  <pivotFields count="15">
    <pivotField showAll="0"/>
    <pivotField showAll="0">
      <items count="51">
        <item x="37"/>
        <item x="46"/>
        <item x="15"/>
        <item x="3"/>
        <item x="31"/>
        <item x="17"/>
        <item x="44"/>
        <item x="10"/>
        <item x="39"/>
        <item x="11"/>
        <item x="36"/>
        <item x="24"/>
        <item x="2"/>
        <item x="27"/>
        <item x="19"/>
        <item x="35"/>
        <item x="12"/>
        <item x="29"/>
        <item x="18"/>
        <item x="5"/>
        <item x="38"/>
        <item x="41"/>
        <item x="16"/>
        <item x="25"/>
        <item x="28"/>
        <item x="0"/>
        <item x="48"/>
        <item x="7"/>
        <item x="13"/>
        <item x="49"/>
        <item x="45"/>
        <item x="22"/>
        <item x="42"/>
        <item x="4"/>
        <item x="8"/>
        <item x="1"/>
        <item x="20"/>
        <item x="40"/>
        <item x="43"/>
        <item x="9"/>
        <item x="34"/>
        <item x="6"/>
        <item x="30"/>
        <item x="33"/>
        <item x="21"/>
        <item x="26"/>
        <item x="32"/>
        <item x="14"/>
        <item x="23"/>
        <item x="47"/>
        <item t="default"/>
      </items>
    </pivotField>
    <pivotField axis="axisRow" showAll="0">
      <items count="9">
        <item x="6"/>
        <item x="1"/>
        <item x="7"/>
        <item x="4"/>
        <item x="2"/>
        <item x="5"/>
        <item x="0"/>
        <item x="3"/>
        <item t="default"/>
      </items>
    </pivotField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4" showAll="0"/>
    <pivotField showAll="0"/>
    <pivotField numFmtId="14" showAll="0"/>
    <pivotField showAll="0"/>
    <pivotField showAll="0"/>
    <pivotField showAll="0"/>
    <pivotField dataField="1" numFmtId="164"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Entregas por Cidade" fld="11" baseField="2" baseItem="0" numFmtId="164"/>
  </dataFields>
  <formats count="4">
    <format dxfId="37">
      <pivotArea field="2" type="button" dataOnly="0" labelOnly="1" outline="0" axis="axisRow" fieldPosition="0"/>
    </format>
    <format dxfId="36">
      <pivotArea dataOnly="0" labelOnly="1" outline="0" axis="axisValues" fieldPosition="0"/>
    </format>
    <format dxfId="34">
      <pivotArea grandRow="1" outline="0" collapsedLevelsAreSubtotals="1" fieldPosition="0"/>
    </format>
    <format dxfId="33">
      <pivotArea dataOnly="0" labelOnly="1" grandRow="1" outline="0" fieldPosition="0"/>
    </format>
  </formats>
  <chartFormats count="9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9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E1CBBC-3913-4D24-BFB9-1B445BDA5D0E}" name="Tabela dinâmica3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 rowHeaderCaption="Descrição ">
  <location ref="G3:H6" firstHeaderRow="1" firstDataRow="1" firstDataCol="1"/>
  <pivotFields count="15">
    <pivotField showAll="0"/>
    <pivotField showAll="0"/>
    <pivotField showAll="0"/>
    <pivotField showAll="0"/>
    <pivotField axis="axisRow"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4" showAll="0"/>
    <pivotField showAll="0"/>
    <pivotField numFmtId="14" showAll="0"/>
    <pivotField showAll="0"/>
    <pivotField showAll="0"/>
    <pivotField showAll="0"/>
    <pivotField dataField="1" numFmtId="164" showAll="0"/>
    <pivotField showAll="0">
      <items count="20">
        <item x="10"/>
        <item x="7"/>
        <item x="5"/>
        <item x="12"/>
        <item x="1"/>
        <item x="9"/>
        <item x="13"/>
        <item x="18"/>
        <item x="6"/>
        <item x="0"/>
        <item x="8"/>
        <item x="4"/>
        <item x="15"/>
        <item x="17"/>
        <item x="14"/>
        <item x="11"/>
        <item x="3"/>
        <item x="16"/>
        <item x="2"/>
        <item t="default"/>
      </items>
    </pivotField>
    <pivotField axis="axisRow" showAll="0" defaultSubtotal="0">
      <items count="36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</items>
    </pivotField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3">
    <field x="14"/>
    <field x="13"/>
    <field x="4"/>
  </rowFields>
  <rowItems count="3">
    <i>
      <x v="3"/>
    </i>
    <i>
      <x v="4"/>
    </i>
    <i t="grand">
      <x/>
    </i>
  </rowItems>
  <colItems count="1">
    <i/>
  </colItems>
  <dataFields count="1">
    <dataField name="Custo de Frete por Mês" fld="11" baseField="14" baseItem="3" numFmtId="164"/>
  </dataFields>
  <formats count="4">
    <format dxfId="42">
      <pivotArea field="14" type="button" dataOnly="0" labelOnly="1" outline="0" axis="axisRow" fieldPosition="0"/>
    </format>
    <format dxfId="43">
      <pivotArea dataOnly="0" labelOnly="1" outline="0" axis="axisValues" fieldPosition="0"/>
    </format>
    <format dxfId="44">
      <pivotArea grandRow="1" outline="0" collapsedLevelsAreSubtotals="1" fieldPosition="0"/>
    </format>
    <format dxfId="45">
      <pivotArea dataOnly="0" labelOnly="1" grandRow="1" outline="0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CD2FBC-FE3A-4DB6-951C-5B1EFD408932}" name="Tabela dinâmica2" cacheId="1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 rowHeaderCaption="Descrição">
  <location ref="D3:E6" firstHeaderRow="1" firstDataRow="1" firstDataCol="1"/>
  <pivotFields count="15">
    <pivotField dataField="1" showAll="0"/>
    <pivotField showAll="0"/>
    <pivotField showAll="0"/>
    <pivotField showAll="0"/>
    <pivotField numFmtId="14" showAll="0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umFmtId="14" showAll="0"/>
    <pivotField showAll="0"/>
    <pivotField numFmtId="14" showAll="0"/>
    <pivotField showAll="0"/>
    <pivotField showAll="0"/>
    <pivotField showAll="0"/>
    <pivotField numFmtId="164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3">
    <i>
      <x v="3"/>
    </i>
    <i>
      <x v="4"/>
    </i>
    <i t="grand">
      <x/>
    </i>
  </rowItems>
  <colItems count="1">
    <i/>
  </colItems>
  <dataFields count="1">
    <dataField name="Quantidade de Entregas por Mê" fld="0" subtotal="count" baseField="14" baseItem="3"/>
  </dataFields>
  <formats count="4">
    <format dxfId="51">
      <pivotArea field="14" type="button" dataOnly="0" labelOnly="1" outline="0" axis="axisRow" fieldPosition="0"/>
    </format>
    <format dxfId="50">
      <pivotArea dataOnly="0" labelOnly="1" outline="0" axis="axisValues" fieldPosition="0"/>
    </format>
    <format dxfId="47">
      <pivotArea grandRow="1" outline="0" collapsedLevelsAreSubtotals="1" fieldPosition="0"/>
    </format>
    <format dxfId="46">
      <pivotArea dataOnly="0" labelOnly="1" grandRow="1" outline="0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75CEA1-8D70-41C7-B5BD-1B10F3625800}" name="Tabela dinâ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 rowHeaderCaption="Descriçao">
  <location ref="A3:B8" firstHeaderRow="1" firstDataRow="1" firstDataCol="1"/>
  <pivotFields count="12">
    <pivotField showAll="0"/>
    <pivotField showAll="0"/>
    <pivotField showAll="0"/>
    <pivotField numFmtId="14" showAll="0"/>
    <pivotField numFmtId="14" showAll="0"/>
    <pivotField showAll="0"/>
    <pivotField numFmtId="14" showAll="0"/>
    <pivotField axis="axisRow" dataField="1" showAll="0">
      <items count="5">
        <item x="2"/>
        <item x="1"/>
        <item x="0"/>
        <item x="3"/>
        <item t="default"/>
      </items>
    </pivotField>
    <pivotField showAll="0"/>
    <pivotField showAll="0"/>
    <pivotField numFmtId="164" showAll="0"/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Distribuição das Entregas por Status" fld="7" subtotal="count" baseField="7" baseItem="0"/>
  </dataFields>
  <formats count="4">
    <format dxfId="53">
      <pivotArea field="7" type="button" dataOnly="0" labelOnly="1" outline="0" axis="axisRow" fieldPosition="0"/>
    </format>
    <format dxfId="52">
      <pivotArea dataOnly="0" labelOnly="1" outline="0" axis="axisValues" fieldPosition="0"/>
    </format>
    <format dxfId="49">
      <pivotArea dataOnly="0" labelOnly="1" grandRow="1" outline="0" fieldPosition="0"/>
    </format>
    <format dxfId="48">
      <pivotArea grandRow="1"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9A445-7722-4E61-8808-F305AC0951F3}" name="Tabela2" displayName="Tabela2" ref="A3:M53" totalsRowShown="0" headerRowDxfId="59">
  <autoFilter ref="A3:M53" xr:uid="{1399A445-7722-4E61-8808-F305AC0951F3}"/>
  <tableColumns count="13">
    <tableColumn id="1" xr3:uid="{43C5F4FA-6910-4A2C-B79D-05BD53DCEFDB}" name="ID_PEDIDO"/>
    <tableColumn id="2" xr3:uid="{8D3F7D32-85DC-4DE9-A582-E6F10D060365}" name="CLIENTE"/>
    <tableColumn id="3" xr3:uid="{0743744B-0D62-4B3B-8D3D-4C13D1035E23}" name="CIDADE"/>
    <tableColumn id="4" xr3:uid="{91F03B15-A933-40B7-A0A3-68DDF526299B}" name="ESTADO"/>
    <tableColumn id="5" xr3:uid="{58C25541-D154-4B2D-B8C0-B4E84BEE7887}" name="DATA_PEDIDO" dataDxfId="58"/>
    <tableColumn id="6" xr3:uid="{7302CDDE-0C09-410B-90EF-BB3CCA04C049}" name="DATA_ENVIO" dataDxfId="57"/>
    <tableColumn id="7" xr3:uid="{5F000D57-6636-4785-B283-AAF382206ED1}" name="PRAZO_DIAS"/>
    <tableColumn id="8" xr3:uid="{E8E6AC62-01DD-4025-8C72-D3F1B94AAC79}" name="DATA_PREVISTA" dataDxfId="55"/>
    <tableColumn id="9" xr3:uid="{8943C133-F60A-4477-97FC-49CCF0FC386C}" name="STATUS" dataDxfId="54"/>
    <tableColumn id="10" xr3:uid="{FBDC24AE-8D4A-4914-84BC-AB07E0BE0693}" name="TRANSPORTADORA"/>
    <tableColumn id="11" xr3:uid="{D63A812E-BB2E-4B78-A164-E94C6A0A3F29}" name="MARKTPLACE"/>
    <tableColumn id="12" xr3:uid="{C4137BE0-7ACA-47D6-8759-3FC819F1BFF8}" name="VALOR_FRETE" dataDxfId="56"/>
    <tableColumn id="13" xr3:uid="{C49F54A3-25A3-4C6C-9D89-EB80EE2F35A8}" name="OBSERVAÇO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3574B-4769-41F9-94D1-2D8410B296C2}">
  <dimension ref="A1:M69"/>
  <sheetViews>
    <sheetView topLeftCell="I31" zoomScale="106" zoomScaleNormal="106" workbookViewId="0">
      <selection activeCell="G3" sqref="G3"/>
    </sheetView>
  </sheetViews>
  <sheetFormatPr defaultRowHeight="15" x14ac:dyDescent="0.25"/>
  <cols>
    <col min="1" max="1" width="18.5703125" customWidth="1"/>
    <col min="2" max="2" width="17.85546875" bestFit="1" customWidth="1"/>
    <col min="3" max="3" width="19.7109375" customWidth="1"/>
    <col min="4" max="4" width="18.5703125" customWidth="1"/>
    <col min="5" max="5" width="27.5703125" customWidth="1"/>
    <col min="6" max="6" width="24.5703125" customWidth="1"/>
    <col min="7" max="7" width="22.7109375" customWidth="1"/>
    <col min="8" max="8" width="28.140625" customWidth="1"/>
    <col min="9" max="9" width="17.5703125" customWidth="1"/>
    <col min="10" max="10" width="34.85546875" customWidth="1"/>
    <col min="11" max="11" width="25.85546875" style="2" customWidth="1"/>
    <col min="12" max="12" width="26" customWidth="1"/>
    <col min="13" max="13" width="27.7109375" bestFit="1" customWidth="1"/>
    <col min="17" max="17" width="14.7109375" bestFit="1" customWidth="1"/>
    <col min="18" max="18" width="27.7109375" bestFit="1" customWidth="1"/>
  </cols>
  <sheetData>
    <row r="1" spans="1:13" s="7" customFormat="1" ht="45.75" thickBot="1" x14ac:dyDescent="0.65">
      <c r="A1" s="6" t="s">
        <v>0</v>
      </c>
    </row>
    <row r="3" spans="1:13" s="5" customFormat="1" ht="23.25" x14ac:dyDescent="0.25">
      <c r="A3" s="3" t="s">
        <v>4</v>
      </c>
      <c r="B3" s="3" t="s">
        <v>1</v>
      </c>
      <c r="C3" s="3" t="s">
        <v>2</v>
      </c>
      <c r="D3" s="3" t="s">
        <v>3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148</v>
      </c>
      <c r="L3" s="4" t="s">
        <v>11</v>
      </c>
      <c r="M3" s="3" t="s">
        <v>12</v>
      </c>
    </row>
    <row r="4" spans="1:13" x14ac:dyDescent="0.25">
      <c r="A4" t="s">
        <v>13</v>
      </c>
      <c r="B4" t="s">
        <v>63</v>
      </c>
      <c r="C4" t="s">
        <v>113</v>
      </c>
      <c r="D4" t="s">
        <v>121</v>
      </c>
      <c r="E4" s="1">
        <v>46082</v>
      </c>
      <c r="F4" s="1">
        <v>46083</v>
      </c>
      <c r="G4">
        <v>3</v>
      </c>
      <c r="H4" s="1">
        <v>46086</v>
      </c>
      <c r="I4" s="8" t="s">
        <v>122</v>
      </c>
      <c r="J4" t="s">
        <v>126</v>
      </c>
      <c r="K4" t="s">
        <v>149</v>
      </c>
      <c r="L4" s="2">
        <v>25</v>
      </c>
      <c r="M4" t="s">
        <v>129</v>
      </c>
    </row>
    <row r="5" spans="1:13" x14ac:dyDescent="0.25">
      <c r="A5" t="s">
        <v>14</v>
      </c>
      <c r="B5" t="s">
        <v>64</v>
      </c>
      <c r="C5" t="s">
        <v>114</v>
      </c>
      <c r="D5" t="s">
        <v>121</v>
      </c>
      <c r="E5" s="1">
        <v>46083</v>
      </c>
      <c r="F5" s="1">
        <v>46084</v>
      </c>
      <c r="G5">
        <v>4</v>
      </c>
      <c r="H5" s="1">
        <v>46088</v>
      </c>
      <c r="I5" s="8" t="s">
        <v>123</v>
      </c>
      <c r="J5" t="s">
        <v>127</v>
      </c>
      <c r="K5" t="s">
        <v>150</v>
      </c>
      <c r="L5" s="2">
        <v>32</v>
      </c>
      <c r="M5" t="s">
        <v>130</v>
      </c>
    </row>
    <row r="6" spans="1:13" x14ac:dyDescent="0.25">
      <c r="A6" t="s">
        <v>15</v>
      </c>
      <c r="B6" t="s">
        <v>65</v>
      </c>
      <c r="C6" t="s">
        <v>115</v>
      </c>
      <c r="D6" t="s">
        <v>121</v>
      </c>
      <c r="E6" s="1">
        <v>46084</v>
      </c>
      <c r="F6" s="1">
        <v>46085</v>
      </c>
      <c r="G6">
        <v>2</v>
      </c>
      <c r="H6" s="1">
        <v>46087</v>
      </c>
      <c r="I6" s="8" t="s">
        <v>124</v>
      </c>
      <c r="J6" t="s">
        <v>126</v>
      </c>
      <c r="K6" t="s">
        <v>151</v>
      </c>
      <c r="L6" s="2">
        <v>28</v>
      </c>
      <c r="M6" t="s">
        <v>131</v>
      </c>
    </row>
    <row r="7" spans="1:13" x14ac:dyDescent="0.25">
      <c r="A7" t="s">
        <v>16</v>
      </c>
      <c r="B7" t="s">
        <v>66</v>
      </c>
      <c r="C7" t="s">
        <v>116</v>
      </c>
      <c r="D7" t="s">
        <v>121</v>
      </c>
      <c r="E7" s="1">
        <v>46085</v>
      </c>
      <c r="F7" s="1">
        <v>46086</v>
      </c>
      <c r="G7">
        <v>3</v>
      </c>
      <c r="H7" s="1">
        <v>46089</v>
      </c>
      <c r="I7" s="8" t="s">
        <v>125</v>
      </c>
      <c r="J7" t="s">
        <v>128</v>
      </c>
      <c r="K7" t="s">
        <v>149</v>
      </c>
      <c r="L7" s="2">
        <v>22</v>
      </c>
      <c r="M7" t="s">
        <v>132</v>
      </c>
    </row>
    <row r="8" spans="1:13" x14ac:dyDescent="0.25">
      <c r="A8" t="s">
        <v>17</v>
      </c>
      <c r="B8" t="s">
        <v>67</v>
      </c>
      <c r="C8" t="s">
        <v>117</v>
      </c>
      <c r="D8" t="s">
        <v>121</v>
      </c>
      <c r="E8" s="1">
        <v>46086</v>
      </c>
      <c r="F8" s="1">
        <v>46087</v>
      </c>
      <c r="G8">
        <v>5</v>
      </c>
      <c r="H8" s="1">
        <v>46092</v>
      </c>
      <c r="I8" s="8" t="s">
        <v>122</v>
      </c>
      <c r="J8" t="s">
        <v>127</v>
      </c>
      <c r="K8" t="s">
        <v>152</v>
      </c>
      <c r="L8" s="2">
        <v>35</v>
      </c>
      <c r="M8" t="s">
        <v>133</v>
      </c>
    </row>
    <row r="9" spans="1:13" x14ac:dyDescent="0.25">
      <c r="A9" t="s">
        <v>18</v>
      </c>
      <c r="B9" t="s">
        <v>68</v>
      </c>
      <c r="C9" t="s">
        <v>118</v>
      </c>
      <c r="D9" t="s">
        <v>121</v>
      </c>
      <c r="E9" s="1">
        <v>46087</v>
      </c>
      <c r="F9" s="1">
        <v>46088</v>
      </c>
      <c r="G9">
        <v>3</v>
      </c>
      <c r="H9" s="1">
        <v>46091</v>
      </c>
      <c r="I9" s="8" t="s">
        <v>123</v>
      </c>
      <c r="J9" t="s">
        <v>126</v>
      </c>
      <c r="K9" t="s">
        <v>153</v>
      </c>
      <c r="L9" s="2">
        <v>27</v>
      </c>
      <c r="M9" t="s">
        <v>134</v>
      </c>
    </row>
    <row r="10" spans="1:13" x14ac:dyDescent="0.25">
      <c r="A10" t="s">
        <v>19</v>
      </c>
      <c r="B10" t="s">
        <v>69</v>
      </c>
      <c r="C10" t="s">
        <v>119</v>
      </c>
      <c r="D10" t="s">
        <v>121</v>
      </c>
      <c r="E10" s="1">
        <v>46088</v>
      </c>
      <c r="F10" s="1">
        <v>46089</v>
      </c>
      <c r="G10">
        <v>4</v>
      </c>
      <c r="H10" s="1">
        <v>46093</v>
      </c>
      <c r="I10" s="8" t="s">
        <v>122</v>
      </c>
      <c r="J10" t="s">
        <v>128</v>
      </c>
      <c r="K10" t="s">
        <v>154</v>
      </c>
      <c r="L10" s="2">
        <v>30</v>
      </c>
      <c r="M10" t="s">
        <v>135</v>
      </c>
    </row>
    <row r="11" spans="1:13" x14ac:dyDescent="0.25">
      <c r="A11" t="s">
        <v>20</v>
      </c>
      <c r="B11" t="s">
        <v>70</v>
      </c>
      <c r="C11" t="s">
        <v>120</v>
      </c>
      <c r="D11" t="s">
        <v>121</v>
      </c>
      <c r="E11" s="1">
        <v>46089</v>
      </c>
      <c r="F11" s="1">
        <v>46090</v>
      </c>
      <c r="G11">
        <v>3</v>
      </c>
      <c r="H11" s="1">
        <v>46093</v>
      </c>
      <c r="I11" s="8" t="s">
        <v>124</v>
      </c>
      <c r="J11" t="s">
        <v>127</v>
      </c>
      <c r="K11" t="s">
        <v>150</v>
      </c>
      <c r="L11" s="2">
        <v>26</v>
      </c>
      <c r="M11" t="s">
        <v>136</v>
      </c>
    </row>
    <row r="12" spans="1:13" x14ac:dyDescent="0.25">
      <c r="A12" t="s">
        <v>21</v>
      </c>
      <c r="B12" t="s">
        <v>71</v>
      </c>
      <c r="C12" t="s">
        <v>113</v>
      </c>
      <c r="D12" t="s">
        <v>121</v>
      </c>
      <c r="E12" s="1">
        <v>46090</v>
      </c>
      <c r="F12" s="1">
        <v>46091</v>
      </c>
      <c r="G12">
        <v>2</v>
      </c>
      <c r="H12" s="1">
        <v>46093</v>
      </c>
      <c r="I12" s="8" t="s">
        <v>122</v>
      </c>
      <c r="J12" t="s">
        <v>126</v>
      </c>
      <c r="K12" t="s">
        <v>149</v>
      </c>
      <c r="L12" s="2">
        <v>24</v>
      </c>
      <c r="M12" t="s">
        <v>137</v>
      </c>
    </row>
    <row r="13" spans="1:13" x14ac:dyDescent="0.25">
      <c r="A13" t="s">
        <v>22</v>
      </c>
      <c r="B13" t="s">
        <v>72</v>
      </c>
      <c r="C13" t="s">
        <v>114</v>
      </c>
      <c r="D13" t="s">
        <v>121</v>
      </c>
      <c r="E13" s="1">
        <v>46091</v>
      </c>
      <c r="F13" s="1">
        <v>46092</v>
      </c>
      <c r="G13">
        <v>3</v>
      </c>
      <c r="H13" s="1">
        <v>46095</v>
      </c>
      <c r="I13" s="8" t="s">
        <v>123</v>
      </c>
      <c r="J13" t="s">
        <v>128</v>
      </c>
      <c r="K13" t="s">
        <v>151</v>
      </c>
      <c r="L13" s="2">
        <v>29</v>
      </c>
      <c r="M13" t="s">
        <v>138</v>
      </c>
    </row>
    <row r="14" spans="1:13" x14ac:dyDescent="0.25">
      <c r="A14" t="s">
        <v>23</v>
      </c>
      <c r="B14" t="s">
        <v>73</v>
      </c>
      <c r="C14" t="s">
        <v>115</v>
      </c>
      <c r="D14" t="s">
        <v>121</v>
      </c>
      <c r="E14" s="1">
        <v>46092</v>
      </c>
      <c r="F14" s="1">
        <v>46093</v>
      </c>
      <c r="G14">
        <v>4</v>
      </c>
      <c r="H14" s="1">
        <v>46097</v>
      </c>
      <c r="I14" s="8" t="s">
        <v>125</v>
      </c>
      <c r="J14" t="s">
        <v>127</v>
      </c>
      <c r="K14" t="s">
        <v>152</v>
      </c>
      <c r="L14" s="2">
        <v>33</v>
      </c>
      <c r="M14" t="s">
        <v>139</v>
      </c>
    </row>
    <row r="15" spans="1:13" x14ac:dyDescent="0.25">
      <c r="A15" t="s">
        <v>24</v>
      </c>
      <c r="B15" t="s">
        <v>74</v>
      </c>
      <c r="C15" t="s">
        <v>116</v>
      </c>
      <c r="D15" t="s">
        <v>121</v>
      </c>
      <c r="E15" s="1">
        <v>46093</v>
      </c>
      <c r="F15" s="1">
        <v>46094</v>
      </c>
      <c r="G15">
        <v>3</v>
      </c>
      <c r="H15" s="1">
        <v>46097</v>
      </c>
      <c r="I15" s="8" t="s">
        <v>122</v>
      </c>
      <c r="J15" t="s">
        <v>126</v>
      </c>
      <c r="K15" t="s">
        <v>153</v>
      </c>
      <c r="L15" s="2">
        <v>21</v>
      </c>
      <c r="M15" t="s">
        <v>140</v>
      </c>
    </row>
    <row r="16" spans="1:13" x14ac:dyDescent="0.25">
      <c r="A16" t="s">
        <v>25</v>
      </c>
      <c r="B16" t="s">
        <v>75</v>
      </c>
      <c r="C16" t="s">
        <v>117</v>
      </c>
      <c r="D16" t="s">
        <v>121</v>
      </c>
      <c r="E16" s="1">
        <v>46094</v>
      </c>
      <c r="F16" s="1">
        <v>46095</v>
      </c>
      <c r="G16">
        <v>5</v>
      </c>
      <c r="H16" s="1">
        <v>46100</v>
      </c>
      <c r="I16" s="8" t="s">
        <v>123</v>
      </c>
      <c r="J16" t="s">
        <v>128</v>
      </c>
      <c r="K16" t="s">
        <v>149</v>
      </c>
      <c r="L16" s="2">
        <v>36</v>
      </c>
      <c r="M16" t="s">
        <v>141</v>
      </c>
    </row>
    <row r="17" spans="1:13" x14ac:dyDescent="0.25">
      <c r="A17" t="s">
        <v>26</v>
      </c>
      <c r="B17" t="s">
        <v>76</v>
      </c>
      <c r="C17" t="s">
        <v>118</v>
      </c>
      <c r="D17" t="s">
        <v>121</v>
      </c>
      <c r="E17" s="1">
        <v>46095</v>
      </c>
      <c r="F17" s="1">
        <v>46096</v>
      </c>
      <c r="G17">
        <v>3</v>
      </c>
      <c r="H17" s="1">
        <v>46099</v>
      </c>
      <c r="I17" s="8" t="s">
        <v>122</v>
      </c>
      <c r="J17" t="s">
        <v>127</v>
      </c>
      <c r="K17" t="s">
        <v>150</v>
      </c>
      <c r="L17" s="2">
        <v>28</v>
      </c>
      <c r="M17" t="s">
        <v>142</v>
      </c>
    </row>
    <row r="18" spans="1:13" x14ac:dyDescent="0.25">
      <c r="A18" t="s">
        <v>27</v>
      </c>
      <c r="B18" t="s">
        <v>77</v>
      </c>
      <c r="C18" t="s">
        <v>119</v>
      </c>
      <c r="D18" t="s">
        <v>121</v>
      </c>
      <c r="E18" s="1">
        <v>46096</v>
      </c>
      <c r="F18" s="1">
        <v>46097</v>
      </c>
      <c r="G18">
        <v>4</v>
      </c>
      <c r="H18" s="1">
        <v>46101</v>
      </c>
      <c r="I18" s="8" t="s">
        <v>124</v>
      </c>
      <c r="J18" t="s">
        <v>126</v>
      </c>
      <c r="K18" t="s">
        <v>151</v>
      </c>
      <c r="L18" s="2">
        <v>31</v>
      </c>
      <c r="M18" t="s">
        <v>143</v>
      </c>
    </row>
    <row r="19" spans="1:13" x14ac:dyDescent="0.25">
      <c r="A19" t="s">
        <v>28</v>
      </c>
      <c r="B19" t="s">
        <v>78</v>
      </c>
      <c r="C19" t="s">
        <v>120</v>
      </c>
      <c r="D19" t="s">
        <v>121</v>
      </c>
      <c r="E19" s="1">
        <v>46097</v>
      </c>
      <c r="F19" s="1">
        <v>46098</v>
      </c>
      <c r="G19">
        <v>3</v>
      </c>
      <c r="H19" s="1">
        <v>46101</v>
      </c>
      <c r="I19" s="8" t="s">
        <v>123</v>
      </c>
      <c r="J19" t="s">
        <v>128</v>
      </c>
      <c r="K19" t="s">
        <v>149</v>
      </c>
      <c r="L19" s="2">
        <v>25</v>
      </c>
      <c r="M19" t="s">
        <v>134</v>
      </c>
    </row>
    <row r="20" spans="1:13" x14ac:dyDescent="0.25">
      <c r="A20" t="s">
        <v>29</v>
      </c>
      <c r="B20" t="s">
        <v>79</v>
      </c>
      <c r="C20" t="s">
        <v>113</v>
      </c>
      <c r="D20" t="s">
        <v>121</v>
      </c>
      <c r="E20" s="1">
        <v>46098</v>
      </c>
      <c r="F20" s="1">
        <v>46099</v>
      </c>
      <c r="G20">
        <v>2</v>
      </c>
      <c r="H20" s="1">
        <v>46101</v>
      </c>
      <c r="I20" s="8" t="s">
        <v>122</v>
      </c>
      <c r="J20" t="s">
        <v>127</v>
      </c>
      <c r="K20" t="s">
        <v>152</v>
      </c>
      <c r="L20" s="2">
        <v>23</v>
      </c>
      <c r="M20" t="s">
        <v>144</v>
      </c>
    </row>
    <row r="21" spans="1:13" x14ac:dyDescent="0.25">
      <c r="A21" t="s">
        <v>30</v>
      </c>
      <c r="B21" t="s">
        <v>80</v>
      </c>
      <c r="C21" t="s">
        <v>114</v>
      </c>
      <c r="D21" t="s">
        <v>121</v>
      </c>
      <c r="E21" s="1">
        <v>46099</v>
      </c>
      <c r="F21" s="1">
        <v>46100</v>
      </c>
      <c r="G21">
        <v>4</v>
      </c>
      <c r="H21" s="1">
        <v>46104</v>
      </c>
      <c r="I21" s="8" t="s">
        <v>125</v>
      </c>
      <c r="J21" t="s">
        <v>126</v>
      </c>
      <c r="K21" t="s">
        <v>153</v>
      </c>
      <c r="L21" s="2">
        <v>34</v>
      </c>
      <c r="M21" t="s">
        <v>145</v>
      </c>
    </row>
    <row r="22" spans="1:13" x14ac:dyDescent="0.25">
      <c r="A22" t="s">
        <v>31</v>
      </c>
      <c r="B22" t="s">
        <v>81</v>
      </c>
      <c r="C22" t="s">
        <v>115</v>
      </c>
      <c r="D22" t="s">
        <v>121</v>
      </c>
      <c r="E22" s="1">
        <v>46100</v>
      </c>
      <c r="F22" s="1">
        <v>46101</v>
      </c>
      <c r="G22">
        <v>3</v>
      </c>
      <c r="H22" s="1">
        <v>46104</v>
      </c>
      <c r="I22" s="8" t="s">
        <v>123</v>
      </c>
      <c r="J22" t="s">
        <v>128</v>
      </c>
      <c r="K22" t="s">
        <v>154</v>
      </c>
      <c r="L22" s="2">
        <v>27</v>
      </c>
      <c r="M22" t="s">
        <v>138</v>
      </c>
    </row>
    <row r="23" spans="1:13" x14ac:dyDescent="0.25">
      <c r="A23" t="s">
        <v>32</v>
      </c>
      <c r="B23" t="s">
        <v>82</v>
      </c>
      <c r="C23" t="s">
        <v>116</v>
      </c>
      <c r="D23" t="s">
        <v>121</v>
      </c>
      <c r="E23" s="1">
        <v>46101</v>
      </c>
      <c r="F23" s="1">
        <v>46102</v>
      </c>
      <c r="G23">
        <v>3</v>
      </c>
      <c r="H23" s="1">
        <v>46105</v>
      </c>
      <c r="I23" s="8" t="s">
        <v>122</v>
      </c>
      <c r="J23" t="s">
        <v>127</v>
      </c>
      <c r="K23" t="s">
        <v>149</v>
      </c>
      <c r="L23" s="2">
        <v>26</v>
      </c>
      <c r="M23" t="s">
        <v>146</v>
      </c>
    </row>
    <row r="24" spans="1:13" x14ac:dyDescent="0.25">
      <c r="A24" t="s">
        <v>33</v>
      </c>
      <c r="B24" t="s">
        <v>83</v>
      </c>
      <c r="C24" t="s">
        <v>113</v>
      </c>
      <c r="D24" t="s">
        <v>121</v>
      </c>
      <c r="E24" s="1">
        <v>46102</v>
      </c>
      <c r="F24" s="1">
        <v>46103</v>
      </c>
      <c r="G24">
        <v>3</v>
      </c>
      <c r="H24" s="1">
        <v>46106</v>
      </c>
      <c r="I24" s="8" t="s">
        <v>123</v>
      </c>
      <c r="J24" t="s">
        <v>126</v>
      </c>
      <c r="K24" t="s">
        <v>150</v>
      </c>
      <c r="L24" s="2">
        <v>29</v>
      </c>
      <c r="M24" t="s">
        <v>135</v>
      </c>
    </row>
    <row r="25" spans="1:13" x14ac:dyDescent="0.25">
      <c r="A25" t="s">
        <v>34</v>
      </c>
      <c r="B25" t="s">
        <v>84</v>
      </c>
      <c r="C25" t="s">
        <v>114</v>
      </c>
      <c r="D25" t="s">
        <v>121</v>
      </c>
      <c r="E25" s="1">
        <v>46103</v>
      </c>
      <c r="F25" s="1">
        <v>46104</v>
      </c>
      <c r="G25">
        <v>4</v>
      </c>
      <c r="H25" s="1">
        <v>46108</v>
      </c>
      <c r="I25" s="8" t="s">
        <v>125</v>
      </c>
      <c r="J25" t="s">
        <v>128</v>
      </c>
      <c r="K25" t="s">
        <v>151</v>
      </c>
      <c r="L25" s="2">
        <v>31</v>
      </c>
      <c r="M25" t="s">
        <v>130</v>
      </c>
    </row>
    <row r="26" spans="1:13" x14ac:dyDescent="0.25">
      <c r="A26" t="s">
        <v>35</v>
      </c>
      <c r="B26" t="s">
        <v>85</v>
      </c>
      <c r="C26" t="s">
        <v>115</v>
      </c>
      <c r="D26" t="s">
        <v>121</v>
      </c>
      <c r="E26" s="1">
        <v>46104</v>
      </c>
      <c r="F26" s="1">
        <v>46105</v>
      </c>
      <c r="G26">
        <v>2</v>
      </c>
      <c r="H26" s="1">
        <v>46107</v>
      </c>
      <c r="I26" s="8" t="s">
        <v>124</v>
      </c>
      <c r="J26" t="s">
        <v>127</v>
      </c>
      <c r="K26" t="s">
        <v>152</v>
      </c>
      <c r="L26" s="2">
        <v>28</v>
      </c>
      <c r="M26" t="s">
        <v>131</v>
      </c>
    </row>
    <row r="27" spans="1:13" x14ac:dyDescent="0.25">
      <c r="A27" t="s">
        <v>36</v>
      </c>
      <c r="B27" t="s">
        <v>86</v>
      </c>
      <c r="C27" t="s">
        <v>116</v>
      </c>
      <c r="D27" t="s">
        <v>121</v>
      </c>
      <c r="E27" s="1">
        <v>46105</v>
      </c>
      <c r="F27" s="1">
        <v>46106</v>
      </c>
      <c r="G27">
        <v>3</v>
      </c>
      <c r="H27" s="1">
        <v>46109</v>
      </c>
      <c r="I27" s="8" t="s">
        <v>122</v>
      </c>
      <c r="J27" t="s">
        <v>126</v>
      </c>
      <c r="K27" t="s">
        <v>149</v>
      </c>
      <c r="L27" s="2">
        <v>25</v>
      </c>
      <c r="M27" t="s">
        <v>132</v>
      </c>
    </row>
    <row r="28" spans="1:13" x14ac:dyDescent="0.25">
      <c r="A28" t="s">
        <v>37</v>
      </c>
      <c r="B28" t="s">
        <v>87</v>
      </c>
      <c r="C28" t="s">
        <v>117</v>
      </c>
      <c r="D28" t="s">
        <v>121</v>
      </c>
      <c r="E28" s="1">
        <v>46106</v>
      </c>
      <c r="F28" s="1">
        <v>46107</v>
      </c>
      <c r="G28">
        <v>5</v>
      </c>
      <c r="H28" s="1">
        <v>46112</v>
      </c>
      <c r="I28" s="8" t="s">
        <v>123</v>
      </c>
      <c r="J28" t="s">
        <v>128</v>
      </c>
      <c r="K28" t="s">
        <v>153</v>
      </c>
      <c r="L28" s="2">
        <v>35</v>
      </c>
      <c r="M28" t="s">
        <v>133</v>
      </c>
    </row>
    <row r="29" spans="1:13" x14ac:dyDescent="0.25">
      <c r="A29" t="s">
        <v>38</v>
      </c>
      <c r="B29" t="s">
        <v>88</v>
      </c>
      <c r="C29" t="s">
        <v>118</v>
      </c>
      <c r="D29" t="s">
        <v>121</v>
      </c>
      <c r="E29" s="1">
        <v>46107</v>
      </c>
      <c r="F29" s="1">
        <v>46108</v>
      </c>
      <c r="G29">
        <v>3</v>
      </c>
      <c r="H29" s="1">
        <v>46111</v>
      </c>
      <c r="I29" s="8" t="s">
        <v>122</v>
      </c>
      <c r="J29" t="s">
        <v>127</v>
      </c>
      <c r="K29" t="s">
        <v>154</v>
      </c>
      <c r="L29" s="2">
        <v>27</v>
      </c>
      <c r="M29" t="s">
        <v>134</v>
      </c>
    </row>
    <row r="30" spans="1:13" x14ac:dyDescent="0.25">
      <c r="A30" t="s">
        <v>39</v>
      </c>
      <c r="B30" t="s">
        <v>89</v>
      </c>
      <c r="C30" t="s">
        <v>119</v>
      </c>
      <c r="D30" t="s">
        <v>121</v>
      </c>
      <c r="E30" s="1">
        <v>46108</v>
      </c>
      <c r="F30" s="1">
        <v>46109</v>
      </c>
      <c r="G30">
        <v>4</v>
      </c>
      <c r="H30" s="1">
        <v>46113</v>
      </c>
      <c r="I30" s="8" t="s">
        <v>124</v>
      </c>
      <c r="J30" t="s">
        <v>126</v>
      </c>
      <c r="K30" t="s">
        <v>149</v>
      </c>
      <c r="L30" s="2">
        <v>30</v>
      </c>
      <c r="M30" t="s">
        <v>135</v>
      </c>
    </row>
    <row r="31" spans="1:13" x14ac:dyDescent="0.25">
      <c r="A31" t="s">
        <v>40</v>
      </c>
      <c r="B31" t="s">
        <v>90</v>
      </c>
      <c r="C31" t="s">
        <v>120</v>
      </c>
      <c r="D31" t="s">
        <v>121</v>
      </c>
      <c r="E31" s="1">
        <v>46109</v>
      </c>
      <c r="F31" s="1">
        <v>46110</v>
      </c>
      <c r="G31">
        <v>3</v>
      </c>
      <c r="H31" s="1">
        <v>46112</v>
      </c>
      <c r="I31" s="8" t="s">
        <v>122</v>
      </c>
      <c r="J31" t="s">
        <v>128</v>
      </c>
      <c r="K31" t="s">
        <v>150</v>
      </c>
      <c r="L31" s="2">
        <v>26</v>
      </c>
      <c r="M31" t="s">
        <v>136</v>
      </c>
    </row>
    <row r="32" spans="1:13" x14ac:dyDescent="0.25">
      <c r="A32" t="s">
        <v>41</v>
      </c>
      <c r="B32" t="s">
        <v>91</v>
      </c>
      <c r="C32" t="s">
        <v>113</v>
      </c>
      <c r="D32" t="s">
        <v>121</v>
      </c>
      <c r="E32" s="1">
        <v>46110</v>
      </c>
      <c r="F32" s="1">
        <v>46111</v>
      </c>
      <c r="G32">
        <v>2</v>
      </c>
      <c r="H32" s="1">
        <v>46113</v>
      </c>
      <c r="I32" s="8" t="s">
        <v>123</v>
      </c>
      <c r="J32" t="s">
        <v>127</v>
      </c>
      <c r="K32" t="s">
        <v>151</v>
      </c>
      <c r="L32" s="2">
        <v>24</v>
      </c>
      <c r="M32" t="s">
        <v>137</v>
      </c>
    </row>
    <row r="33" spans="1:13" x14ac:dyDescent="0.25">
      <c r="A33" t="s">
        <v>42</v>
      </c>
      <c r="B33" t="s">
        <v>92</v>
      </c>
      <c r="C33" t="s">
        <v>114</v>
      </c>
      <c r="D33" t="s">
        <v>121</v>
      </c>
      <c r="E33" s="1">
        <v>46111</v>
      </c>
      <c r="F33" s="1">
        <v>46112</v>
      </c>
      <c r="G33">
        <v>3</v>
      </c>
      <c r="H33" s="1">
        <v>46115</v>
      </c>
      <c r="I33" s="8" t="s">
        <v>122</v>
      </c>
      <c r="J33" t="s">
        <v>126</v>
      </c>
      <c r="K33" t="s">
        <v>152</v>
      </c>
      <c r="L33" s="2">
        <v>29</v>
      </c>
      <c r="M33" t="s">
        <v>138</v>
      </c>
    </row>
    <row r="34" spans="1:13" x14ac:dyDescent="0.25">
      <c r="A34" t="s">
        <v>43</v>
      </c>
      <c r="B34" t="s">
        <v>93</v>
      </c>
      <c r="C34" t="s">
        <v>115</v>
      </c>
      <c r="D34" t="s">
        <v>121</v>
      </c>
      <c r="E34" s="1">
        <v>46112</v>
      </c>
      <c r="F34" s="1">
        <v>46113</v>
      </c>
      <c r="G34">
        <v>4</v>
      </c>
      <c r="H34" s="1">
        <v>46117</v>
      </c>
      <c r="I34" s="8" t="s">
        <v>123</v>
      </c>
      <c r="J34" t="s">
        <v>128</v>
      </c>
      <c r="K34" t="s">
        <v>149</v>
      </c>
      <c r="L34" s="2">
        <v>33</v>
      </c>
      <c r="M34" t="s">
        <v>139</v>
      </c>
    </row>
    <row r="35" spans="1:13" x14ac:dyDescent="0.25">
      <c r="A35" t="s">
        <v>44</v>
      </c>
      <c r="B35" t="s">
        <v>94</v>
      </c>
      <c r="C35" t="s">
        <v>116</v>
      </c>
      <c r="D35" t="s">
        <v>121</v>
      </c>
      <c r="E35" s="1">
        <v>46113</v>
      </c>
      <c r="F35" s="1">
        <v>46114</v>
      </c>
      <c r="G35">
        <v>3</v>
      </c>
      <c r="H35" s="1">
        <v>46118</v>
      </c>
      <c r="I35" s="8" t="s">
        <v>124</v>
      </c>
      <c r="J35" t="s">
        <v>127</v>
      </c>
      <c r="K35" t="s">
        <v>153</v>
      </c>
      <c r="L35" s="2">
        <v>21</v>
      </c>
      <c r="M35" t="s">
        <v>140</v>
      </c>
    </row>
    <row r="36" spans="1:13" x14ac:dyDescent="0.25">
      <c r="A36" t="s">
        <v>45</v>
      </c>
      <c r="B36" t="s">
        <v>95</v>
      </c>
      <c r="C36" t="s">
        <v>117</v>
      </c>
      <c r="D36" t="s">
        <v>121</v>
      </c>
      <c r="E36" s="1">
        <v>46114</v>
      </c>
      <c r="F36" s="1">
        <v>46115</v>
      </c>
      <c r="G36">
        <v>5</v>
      </c>
      <c r="H36" s="1">
        <v>46119</v>
      </c>
      <c r="I36" s="8" t="s">
        <v>125</v>
      </c>
      <c r="J36" t="s">
        <v>126</v>
      </c>
      <c r="K36" t="s">
        <v>149</v>
      </c>
      <c r="L36" s="2">
        <v>36</v>
      </c>
      <c r="M36" t="s">
        <v>141</v>
      </c>
    </row>
    <row r="37" spans="1:13" x14ac:dyDescent="0.25">
      <c r="A37" t="s">
        <v>46</v>
      </c>
      <c r="B37" t="s">
        <v>96</v>
      </c>
      <c r="C37" t="s">
        <v>118</v>
      </c>
      <c r="D37" t="s">
        <v>121</v>
      </c>
      <c r="E37" s="1">
        <v>46115</v>
      </c>
      <c r="F37" s="1">
        <v>46116</v>
      </c>
      <c r="G37">
        <v>3</v>
      </c>
      <c r="H37" s="1">
        <v>46121</v>
      </c>
      <c r="I37" s="8" t="s">
        <v>122</v>
      </c>
      <c r="J37" t="s">
        <v>128</v>
      </c>
      <c r="K37" t="s">
        <v>150</v>
      </c>
      <c r="L37" s="2">
        <v>28</v>
      </c>
      <c r="M37" t="s">
        <v>142</v>
      </c>
    </row>
    <row r="38" spans="1:13" x14ac:dyDescent="0.25">
      <c r="A38" t="s">
        <v>47</v>
      </c>
      <c r="B38" t="s">
        <v>97</v>
      </c>
      <c r="C38" t="s">
        <v>119</v>
      </c>
      <c r="D38" t="s">
        <v>121</v>
      </c>
      <c r="E38" s="1">
        <v>46116</v>
      </c>
      <c r="F38" s="1">
        <v>46117</v>
      </c>
      <c r="G38">
        <v>4</v>
      </c>
      <c r="H38" s="1">
        <v>46122</v>
      </c>
      <c r="I38" s="8" t="s">
        <v>123</v>
      </c>
      <c r="J38" t="s">
        <v>127</v>
      </c>
      <c r="K38" t="s">
        <v>151</v>
      </c>
      <c r="L38" s="2">
        <v>31</v>
      </c>
      <c r="M38" t="s">
        <v>143</v>
      </c>
    </row>
    <row r="39" spans="1:13" x14ac:dyDescent="0.25">
      <c r="A39" t="s">
        <v>48</v>
      </c>
      <c r="B39" t="s">
        <v>98</v>
      </c>
      <c r="C39" t="s">
        <v>120</v>
      </c>
      <c r="D39" t="s">
        <v>121</v>
      </c>
      <c r="E39" s="1">
        <v>46117</v>
      </c>
      <c r="F39" s="1">
        <v>46118</v>
      </c>
      <c r="G39">
        <v>3</v>
      </c>
      <c r="H39" s="1">
        <v>46123</v>
      </c>
      <c r="I39" s="8" t="s">
        <v>122</v>
      </c>
      <c r="J39" t="s">
        <v>126</v>
      </c>
      <c r="K39" t="s">
        <v>152</v>
      </c>
      <c r="L39" s="2">
        <v>25</v>
      </c>
      <c r="M39" t="s">
        <v>134</v>
      </c>
    </row>
    <row r="40" spans="1:13" x14ac:dyDescent="0.25">
      <c r="A40" t="s">
        <v>49</v>
      </c>
      <c r="B40" t="s">
        <v>99</v>
      </c>
      <c r="C40" t="s">
        <v>113</v>
      </c>
      <c r="D40" t="s">
        <v>121</v>
      </c>
      <c r="E40" s="1">
        <v>46118</v>
      </c>
      <c r="F40" s="1">
        <v>46119</v>
      </c>
      <c r="G40">
        <v>2</v>
      </c>
      <c r="H40" s="1">
        <v>46125</v>
      </c>
      <c r="I40" s="8" t="s">
        <v>124</v>
      </c>
      <c r="J40" t="s">
        <v>128</v>
      </c>
      <c r="K40" t="s">
        <v>149</v>
      </c>
      <c r="L40" s="2">
        <v>23</v>
      </c>
      <c r="M40" t="s">
        <v>144</v>
      </c>
    </row>
    <row r="41" spans="1:13" x14ac:dyDescent="0.25">
      <c r="A41" t="s">
        <v>50</v>
      </c>
      <c r="B41" t="s">
        <v>100</v>
      </c>
      <c r="C41" t="s">
        <v>114</v>
      </c>
      <c r="D41" t="s">
        <v>121</v>
      </c>
      <c r="E41" s="1">
        <v>46119</v>
      </c>
      <c r="F41" s="1">
        <v>46120</v>
      </c>
      <c r="G41">
        <v>4</v>
      </c>
      <c r="H41" s="1">
        <v>46126</v>
      </c>
      <c r="I41" s="8" t="s">
        <v>123</v>
      </c>
      <c r="J41" t="s">
        <v>127</v>
      </c>
      <c r="K41" t="s">
        <v>153</v>
      </c>
      <c r="L41" s="2">
        <v>34</v>
      </c>
      <c r="M41" t="s">
        <v>145</v>
      </c>
    </row>
    <row r="42" spans="1:13" x14ac:dyDescent="0.25">
      <c r="A42" t="s">
        <v>51</v>
      </c>
      <c r="B42" t="s">
        <v>101</v>
      </c>
      <c r="C42" t="s">
        <v>115</v>
      </c>
      <c r="D42" t="s">
        <v>121</v>
      </c>
      <c r="E42" s="1">
        <v>46120</v>
      </c>
      <c r="F42" s="1">
        <v>46121</v>
      </c>
      <c r="G42">
        <v>3</v>
      </c>
      <c r="H42" s="1">
        <v>46127</v>
      </c>
      <c r="I42" s="8" t="s">
        <v>122</v>
      </c>
      <c r="J42" t="s">
        <v>126</v>
      </c>
      <c r="K42" t="s">
        <v>154</v>
      </c>
      <c r="L42" s="2">
        <v>27</v>
      </c>
      <c r="M42" t="s">
        <v>138</v>
      </c>
    </row>
    <row r="43" spans="1:13" x14ac:dyDescent="0.25">
      <c r="A43" t="s">
        <v>52</v>
      </c>
      <c r="B43" t="s">
        <v>102</v>
      </c>
      <c r="C43" t="s">
        <v>116</v>
      </c>
      <c r="D43" t="s">
        <v>121</v>
      </c>
      <c r="E43" s="1">
        <v>46121</v>
      </c>
      <c r="F43" s="1">
        <v>46122</v>
      </c>
      <c r="G43">
        <v>3</v>
      </c>
      <c r="H43" s="1">
        <v>46128</v>
      </c>
      <c r="I43" s="8" t="s">
        <v>123</v>
      </c>
      <c r="J43" t="s">
        <v>128</v>
      </c>
      <c r="K43" t="s">
        <v>149</v>
      </c>
      <c r="L43" s="2">
        <v>26</v>
      </c>
      <c r="M43" t="s">
        <v>147</v>
      </c>
    </row>
    <row r="44" spans="1:13" x14ac:dyDescent="0.25">
      <c r="A44" t="s">
        <v>53</v>
      </c>
      <c r="B44" t="s">
        <v>103</v>
      </c>
      <c r="C44" t="s">
        <v>117</v>
      </c>
      <c r="D44" t="s">
        <v>121</v>
      </c>
      <c r="E44" s="1">
        <v>46122</v>
      </c>
      <c r="F44" s="1">
        <v>46123</v>
      </c>
      <c r="G44">
        <v>3</v>
      </c>
      <c r="H44" s="1">
        <v>46130</v>
      </c>
      <c r="I44" s="8" t="s">
        <v>122</v>
      </c>
      <c r="J44" t="s">
        <v>127</v>
      </c>
      <c r="K44" t="s">
        <v>150</v>
      </c>
      <c r="L44" s="2">
        <v>29</v>
      </c>
      <c r="M44" t="s">
        <v>135</v>
      </c>
    </row>
    <row r="45" spans="1:13" x14ac:dyDescent="0.25">
      <c r="A45" t="s">
        <v>54</v>
      </c>
      <c r="B45" t="s">
        <v>104</v>
      </c>
      <c r="C45" t="s">
        <v>118</v>
      </c>
      <c r="D45" t="s">
        <v>121</v>
      </c>
      <c r="E45" s="1">
        <v>46123</v>
      </c>
      <c r="F45" s="1">
        <v>46124</v>
      </c>
      <c r="G45">
        <v>4</v>
      </c>
      <c r="H45" s="1">
        <v>46131</v>
      </c>
      <c r="I45" s="8" t="s">
        <v>123</v>
      </c>
      <c r="J45" t="s">
        <v>126</v>
      </c>
      <c r="K45" t="s">
        <v>151</v>
      </c>
      <c r="L45" s="2">
        <v>31</v>
      </c>
      <c r="M45" t="s">
        <v>130</v>
      </c>
    </row>
    <row r="46" spans="1:13" x14ac:dyDescent="0.25">
      <c r="A46" t="s">
        <v>55</v>
      </c>
      <c r="B46" t="s">
        <v>105</v>
      </c>
      <c r="C46" t="s">
        <v>119</v>
      </c>
      <c r="D46" t="s">
        <v>121</v>
      </c>
      <c r="E46" s="1">
        <v>46124</v>
      </c>
      <c r="F46" s="1">
        <v>46125</v>
      </c>
      <c r="G46">
        <v>2</v>
      </c>
      <c r="H46" s="1">
        <v>46132</v>
      </c>
      <c r="I46" s="8" t="s">
        <v>124</v>
      </c>
      <c r="J46" t="s">
        <v>128</v>
      </c>
      <c r="K46" t="s">
        <v>152</v>
      </c>
      <c r="L46" s="2">
        <v>28</v>
      </c>
      <c r="M46" t="s">
        <v>131</v>
      </c>
    </row>
    <row r="47" spans="1:13" x14ac:dyDescent="0.25">
      <c r="A47" t="s">
        <v>56</v>
      </c>
      <c r="B47" t="s">
        <v>106</v>
      </c>
      <c r="C47" t="s">
        <v>120</v>
      </c>
      <c r="D47" t="s">
        <v>121</v>
      </c>
      <c r="E47" s="1">
        <v>46125</v>
      </c>
      <c r="F47" s="1">
        <v>46126</v>
      </c>
      <c r="G47">
        <v>3</v>
      </c>
      <c r="H47" s="1">
        <v>46134</v>
      </c>
      <c r="I47" s="8" t="s">
        <v>122</v>
      </c>
      <c r="J47" t="s">
        <v>127</v>
      </c>
      <c r="K47" t="s">
        <v>149</v>
      </c>
      <c r="L47" s="2">
        <v>25</v>
      </c>
      <c r="M47" t="s">
        <v>132</v>
      </c>
    </row>
    <row r="48" spans="1:13" x14ac:dyDescent="0.25">
      <c r="A48" t="s">
        <v>57</v>
      </c>
      <c r="B48" t="s">
        <v>107</v>
      </c>
      <c r="C48" t="s">
        <v>113</v>
      </c>
      <c r="D48" t="s">
        <v>121</v>
      </c>
      <c r="E48" s="1">
        <v>46126</v>
      </c>
      <c r="F48" s="1">
        <v>46127</v>
      </c>
      <c r="G48">
        <v>5</v>
      </c>
      <c r="H48" s="1">
        <v>46135</v>
      </c>
      <c r="I48" s="8" t="s">
        <v>123</v>
      </c>
      <c r="J48" t="s">
        <v>126</v>
      </c>
      <c r="K48" t="s">
        <v>153</v>
      </c>
      <c r="L48" s="2">
        <v>35</v>
      </c>
      <c r="M48" t="s">
        <v>133</v>
      </c>
    </row>
    <row r="49" spans="1:13" x14ac:dyDescent="0.25">
      <c r="A49" t="s">
        <v>58</v>
      </c>
      <c r="B49" t="s">
        <v>108</v>
      </c>
      <c r="C49" t="s">
        <v>114</v>
      </c>
      <c r="D49" t="s">
        <v>121</v>
      </c>
      <c r="E49" s="1">
        <v>46127</v>
      </c>
      <c r="F49" s="1">
        <v>46128</v>
      </c>
      <c r="G49">
        <v>3</v>
      </c>
      <c r="H49" s="1">
        <v>46136</v>
      </c>
      <c r="I49" s="8" t="s">
        <v>125</v>
      </c>
      <c r="J49" t="s">
        <v>128</v>
      </c>
      <c r="K49" t="s">
        <v>154</v>
      </c>
      <c r="L49" s="2">
        <v>27</v>
      </c>
      <c r="M49" t="s">
        <v>134</v>
      </c>
    </row>
    <row r="50" spans="1:13" x14ac:dyDescent="0.25">
      <c r="A50" t="s">
        <v>59</v>
      </c>
      <c r="B50" t="s">
        <v>109</v>
      </c>
      <c r="C50" t="s">
        <v>115</v>
      </c>
      <c r="D50" t="s">
        <v>121</v>
      </c>
      <c r="E50" s="1">
        <v>46128</v>
      </c>
      <c r="F50" s="1">
        <v>46129</v>
      </c>
      <c r="G50">
        <v>4</v>
      </c>
      <c r="H50" s="1">
        <v>46138</v>
      </c>
      <c r="I50" s="8" t="s">
        <v>122</v>
      </c>
      <c r="J50" t="s">
        <v>127</v>
      </c>
      <c r="K50" t="s">
        <v>149</v>
      </c>
      <c r="L50" s="2">
        <v>30</v>
      </c>
      <c r="M50" t="s">
        <v>135</v>
      </c>
    </row>
    <row r="51" spans="1:13" x14ac:dyDescent="0.25">
      <c r="A51" t="s">
        <v>60</v>
      </c>
      <c r="B51" t="s">
        <v>110</v>
      </c>
      <c r="C51" t="s">
        <v>116</v>
      </c>
      <c r="D51" t="s">
        <v>121</v>
      </c>
      <c r="E51" s="1">
        <v>46129</v>
      </c>
      <c r="F51" s="1">
        <v>46130</v>
      </c>
      <c r="G51">
        <v>3</v>
      </c>
      <c r="H51" s="1">
        <v>46139</v>
      </c>
      <c r="I51" s="8" t="s">
        <v>123</v>
      </c>
      <c r="J51" t="s">
        <v>126</v>
      </c>
      <c r="K51" t="s">
        <v>150</v>
      </c>
      <c r="L51" s="2">
        <v>26</v>
      </c>
      <c r="M51" t="s">
        <v>136</v>
      </c>
    </row>
    <row r="52" spans="1:13" x14ac:dyDescent="0.25">
      <c r="A52" t="s">
        <v>61</v>
      </c>
      <c r="B52" t="s">
        <v>111</v>
      </c>
      <c r="C52" t="s">
        <v>117</v>
      </c>
      <c r="D52" t="s">
        <v>121</v>
      </c>
      <c r="E52" s="1">
        <v>46130</v>
      </c>
      <c r="F52" s="1">
        <v>46131</v>
      </c>
      <c r="G52">
        <v>2</v>
      </c>
      <c r="H52" s="1">
        <v>46140</v>
      </c>
      <c r="I52" s="8" t="s">
        <v>122</v>
      </c>
      <c r="J52" t="s">
        <v>128</v>
      </c>
      <c r="K52" t="s">
        <v>151</v>
      </c>
      <c r="L52" s="2">
        <v>24</v>
      </c>
      <c r="M52" t="s">
        <v>137</v>
      </c>
    </row>
    <row r="53" spans="1:13" x14ac:dyDescent="0.25">
      <c r="A53" t="s">
        <v>62</v>
      </c>
      <c r="B53" t="s">
        <v>112</v>
      </c>
      <c r="C53" t="s">
        <v>118</v>
      </c>
      <c r="D53" t="s">
        <v>121</v>
      </c>
      <c r="E53" s="1">
        <v>46131</v>
      </c>
      <c r="F53" s="1">
        <v>46132</v>
      </c>
      <c r="G53">
        <v>3</v>
      </c>
      <c r="H53" s="1">
        <v>46142</v>
      </c>
      <c r="I53" s="8" t="s">
        <v>124</v>
      </c>
      <c r="J53" t="s">
        <v>127</v>
      </c>
      <c r="K53" t="s">
        <v>152</v>
      </c>
      <c r="L53" s="2">
        <v>29</v>
      </c>
      <c r="M53" t="s">
        <v>135</v>
      </c>
    </row>
    <row r="54" spans="1:13" x14ac:dyDescent="0.25">
      <c r="K54"/>
    </row>
    <row r="55" spans="1:13" x14ac:dyDescent="0.25">
      <c r="K55"/>
    </row>
    <row r="56" spans="1:13" x14ac:dyDescent="0.25">
      <c r="K56"/>
    </row>
    <row r="57" spans="1:13" x14ac:dyDescent="0.25">
      <c r="K57"/>
    </row>
    <row r="58" spans="1:13" x14ac:dyDescent="0.25">
      <c r="K58"/>
    </row>
    <row r="59" spans="1:13" x14ac:dyDescent="0.25">
      <c r="K59"/>
    </row>
    <row r="60" spans="1:13" x14ac:dyDescent="0.25">
      <c r="K60"/>
    </row>
    <row r="61" spans="1:13" x14ac:dyDescent="0.25">
      <c r="K61"/>
    </row>
    <row r="62" spans="1:13" x14ac:dyDescent="0.25">
      <c r="K62"/>
    </row>
    <row r="63" spans="1:13" x14ac:dyDescent="0.25">
      <c r="K63"/>
    </row>
    <row r="64" spans="1:13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</sheetData>
  <mergeCells count="1">
    <mergeCell ref="A1:XFD1"/>
  </mergeCells>
  <conditionalFormatting sqref="I1:I1048576">
    <cfRule type="cellIs" dxfId="41" priority="1" operator="equal">
      <formula>$I$7</formula>
    </cfRule>
    <cfRule type="cellIs" dxfId="40" priority="2" operator="equal">
      <formula>$I$5</formula>
    </cfRule>
    <cfRule type="cellIs" dxfId="39" priority="3" operator="equal">
      <formula>$I$4</formula>
    </cfRule>
    <cfRule type="cellIs" dxfId="38" priority="4" operator="equal">
      <formula>$I$6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AB1BE-3966-416A-BAE3-C114F628416A}">
  <dimension ref="A1:AT675"/>
  <sheetViews>
    <sheetView tabSelected="1" zoomScaleNormal="100" workbookViewId="0">
      <selection activeCell="E8" sqref="E8"/>
    </sheetView>
  </sheetViews>
  <sheetFormatPr defaultRowHeight="15" x14ac:dyDescent="0.25"/>
  <cols>
    <col min="1" max="1" width="18" bestFit="1" customWidth="1"/>
    <col min="2" max="2" width="33" bestFit="1" customWidth="1"/>
    <col min="3" max="3" width="2.42578125" customWidth="1"/>
    <col min="4" max="4" width="18" bestFit="1" customWidth="1"/>
    <col min="5" max="5" width="29.7109375" bestFit="1" customWidth="1"/>
    <col min="6" max="6" width="1.85546875" customWidth="1"/>
    <col min="7" max="7" width="18" bestFit="1" customWidth="1"/>
    <col min="8" max="8" width="50.85546875" customWidth="1"/>
    <col min="9" max="9" width="3.42578125" customWidth="1"/>
    <col min="10" max="10" width="19.7109375" bestFit="1" customWidth="1"/>
    <col min="11" max="11" width="80.140625" customWidth="1"/>
    <col min="12" max="12" width="3.140625" customWidth="1"/>
    <col min="13" max="13" width="21.140625" customWidth="1"/>
    <col min="14" max="14" width="29.28515625" customWidth="1"/>
    <col min="15" max="15" width="3.28515625" customWidth="1"/>
  </cols>
  <sheetData>
    <row r="1" spans="1:46" s="10" customFormat="1" ht="30" x14ac:dyDescent="0.4">
      <c r="A1" s="10" t="s">
        <v>158</v>
      </c>
    </row>
    <row r="2" spans="1:46" s="9" customFormat="1" ht="5.25" customHeight="1" x14ac:dyDescent="0.25"/>
    <row r="3" spans="1:46" x14ac:dyDescent="0.25">
      <c r="A3" s="14" t="s">
        <v>164</v>
      </c>
      <c r="B3" s="14" t="s">
        <v>159</v>
      </c>
      <c r="C3" s="13"/>
      <c r="D3" s="14" t="s">
        <v>165</v>
      </c>
      <c r="E3" s="14" t="s">
        <v>160</v>
      </c>
      <c r="F3" s="13"/>
      <c r="G3" s="14" t="s">
        <v>166</v>
      </c>
      <c r="H3" s="14" t="s">
        <v>161</v>
      </c>
      <c r="I3" s="13"/>
      <c r="J3" s="14" t="s">
        <v>165</v>
      </c>
      <c r="K3" s="14" t="s">
        <v>162</v>
      </c>
      <c r="L3" s="13"/>
      <c r="M3" s="14" t="s">
        <v>165</v>
      </c>
      <c r="N3" s="14" t="s">
        <v>163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</row>
    <row r="4" spans="1:46" x14ac:dyDescent="0.25">
      <c r="A4" s="11" t="s">
        <v>124</v>
      </c>
      <c r="B4" s="12">
        <v>9</v>
      </c>
      <c r="C4" s="13"/>
      <c r="D4" s="11" t="s">
        <v>156</v>
      </c>
      <c r="E4" s="12">
        <v>31</v>
      </c>
      <c r="F4" s="13"/>
      <c r="G4" s="11" t="s">
        <v>156</v>
      </c>
      <c r="H4" s="2">
        <v>879</v>
      </c>
      <c r="I4" s="13"/>
      <c r="J4" s="11" t="s">
        <v>119</v>
      </c>
      <c r="K4" s="2">
        <v>150</v>
      </c>
      <c r="L4" s="13"/>
      <c r="M4" s="11" t="s">
        <v>128</v>
      </c>
      <c r="N4" s="12">
        <v>16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</row>
    <row r="5" spans="1:46" x14ac:dyDescent="0.25">
      <c r="A5" s="11" t="s">
        <v>123</v>
      </c>
      <c r="B5" s="12">
        <v>16</v>
      </c>
      <c r="C5" s="13"/>
      <c r="D5" s="11" t="s">
        <v>157</v>
      </c>
      <c r="E5" s="12">
        <v>19</v>
      </c>
      <c r="F5" s="13"/>
      <c r="G5" s="11" t="s">
        <v>157</v>
      </c>
      <c r="H5" s="2">
        <v>535</v>
      </c>
      <c r="I5" s="13"/>
      <c r="J5" s="11" t="s">
        <v>114</v>
      </c>
      <c r="K5" s="2">
        <v>216</v>
      </c>
      <c r="L5" s="13"/>
      <c r="M5" s="11" t="s">
        <v>126</v>
      </c>
      <c r="N5" s="12">
        <v>17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</row>
    <row r="6" spans="1:46" x14ac:dyDescent="0.25">
      <c r="A6" s="11" t="s">
        <v>122</v>
      </c>
      <c r="B6" s="12">
        <v>19</v>
      </c>
      <c r="C6" s="13"/>
      <c r="D6" s="15" t="s">
        <v>155</v>
      </c>
      <c r="E6" s="16">
        <v>50</v>
      </c>
      <c r="F6" s="13"/>
      <c r="G6" s="15" t="s">
        <v>155</v>
      </c>
      <c r="H6" s="17">
        <v>1414</v>
      </c>
      <c r="I6" s="13"/>
      <c r="J6" s="11" t="s">
        <v>120</v>
      </c>
      <c r="K6" s="2">
        <v>127</v>
      </c>
      <c r="L6" s="13"/>
      <c r="M6" s="11" t="s">
        <v>127</v>
      </c>
      <c r="N6" s="12">
        <v>17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</row>
    <row r="7" spans="1:46" x14ac:dyDescent="0.25">
      <c r="A7" s="11" t="s">
        <v>125</v>
      </c>
      <c r="B7" s="12">
        <v>6</v>
      </c>
      <c r="C7" s="13"/>
      <c r="D7" s="13"/>
      <c r="E7" s="13"/>
      <c r="F7" s="13"/>
      <c r="G7" s="13"/>
      <c r="H7" s="13"/>
      <c r="I7" s="13"/>
      <c r="J7" s="11" t="s">
        <v>117</v>
      </c>
      <c r="K7" s="2">
        <v>195</v>
      </c>
      <c r="L7" s="13"/>
      <c r="M7" s="15" t="s">
        <v>155</v>
      </c>
      <c r="N7" s="16">
        <v>50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</row>
    <row r="8" spans="1:46" x14ac:dyDescent="0.25">
      <c r="A8" s="15" t="s">
        <v>155</v>
      </c>
      <c r="B8" s="16">
        <v>50</v>
      </c>
      <c r="C8" s="13"/>
      <c r="D8" s="13"/>
      <c r="E8" s="13"/>
      <c r="F8" s="13"/>
      <c r="G8" s="13"/>
      <c r="H8" s="13"/>
      <c r="I8" s="13"/>
      <c r="J8" s="11" t="s">
        <v>115</v>
      </c>
      <c r="K8" s="2">
        <v>206</v>
      </c>
      <c r="L8" s="13"/>
      <c r="M8" s="14"/>
      <c r="N8" s="14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</row>
    <row r="9" spans="1:46" x14ac:dyDescent="0.25">
      <c r="A9" s="13"/>
      <c r="B9" s="13"/>
      <c r="C9" s="13"/>
      <c r="D9" s="13"/>
      <c r="E9" s="13"/>
      <c r="F9" s="13"/>
      <c r="G9" s="13"/>
      <c r="H9" s="13"/>
      <c r="I9" s="13"/>
      <c r="J9" s="11" t="s">
        <v>118</v>
      </c>
      <c r="K9" s="2">
        <v>170</v>
      </c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</row>
    <row r="10" spans="1:46" x14ac:dyDescent="0.25">
      <c r="A10" s="13"/>
      <c r="B10" s="13"/>
      <c r="C10" s="13"/>
      <c r="D10" s="13"/>
      <c r="E10" s="13"/>
      <c r="F10" s="13"/>
      <c r="G10" s="13"/>
      <c r="H10" s="13"/>
      <c r="I10" s="13"/>
      <c r="J10" s="11" t="s">
        <v>113</v>
      </c>
      <c r="K10" s="2">
        <v>183</v>
      </c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</row>
    <row r="11" spans="1:46" x14ac:dyDescent="0.25">
      <c r="A11" s="13"/>
      <c r="B11" s="13"/>
      <c r="C11" s="13"/>
      <c r="D11" s="13"/>
      <c r="E11" s="13"/>
      <c r="F11" s="13"/>
      <c r="G11" s="13"/>
      <c r="H11" s="13"/>
      <c r="I11" s="13"/>
      <c r="J11" s="11" t="s">
        <v>116</v>
      </c>
      <c r="K11" s="2">
        <v>167</v>
      </c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</row>
    <row r="12" spans="1:46" x14ac:dyDescent="0.25">
      <c r="A12" s="13"/>
      <c r="B12" s="13"/>
      <c r="C12" s="13"/>
      <c r="D12" s="13"/>
      <c r="E12" s="13"/>
      <c r="F12" s="13"/>
      <c r="G12" s="13"/>
      <c r="H12" s="13"/>
      <c r="I12" s="13"/>
      <c r="J12" s="15" t="s">
        <v>155</v>
      </c>
      <c r="K12" s="17">
        <v>1414</v>
      </c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</row>
    <row r="13" spans="1:46" x14ac:dyDescent="0.25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</row>
    <row r="14" spans="1:46" x14ac:dyDescent="0.25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</row>
    <row r="15" spans="1:46" x14ac:dyDescent="0.25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</row>
    <row r="16" spans="1:46" x14ac:dyDescent="0.25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</row>
    <row r="17" spans="1:46" x14ac:dyDescent="0.25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</row>
    <row r="18" spans="1:46" x14ac:dyDescent="0.25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</row>
    <row r="19" spans="1:46" x14ac:dyDescent="0.25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</row>
    <row r="20" spans="1:46" x14ac:dyDescent="0.25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</row>
    <row r="21" spans="1:46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</row>
    <row r="22" spans="1:46" x14ac:dyDescent="0.25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</row>
    <row r="23" spans="1:46" x14ac:dyDescent="0.25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</row>
    <row r="24" spans="1:46" x14ac:dyDescent="0.25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</row>
    <row r="25" spans="1:46" x14ac:dyDescent="0.25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</row>
    <row r="26" spans="1:46" x14ac:dyDescent="0.25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</row>
    <row r="27" spans="1:46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</row>
    <row r="28" spans="1:46" x14ac:dyDescent="0.25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</row>
    <row r="29" spans="1:46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</row>
    <row r="30" spans="1:46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</row>
    <row r="31" spans="1:46" x14ac:dyDescent="0.25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</row>
    <row r="32" spans="1:46" x14ac:dyDescent="0.25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</row>
    <row r="33" spans="1:46" x14ac:dyDescent="0.25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</row>
    <row r="34" spans="1:46" x14ac:dyDescent="0.2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</row>
    <row r="35" spans="1:46" x14ac:dyDescent="0.2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</row>
    <row r="36" spans="1:46" x14ac:dyDescent="0.2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</row>
    <row r="37" spans="1:46" x14ac:dyDescent="0.25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</row>
    <row r="38" spans="1:46" x14ac:dyDescent="0.25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</row>
    <row r="39" spans="1:46" x14ac:dyDescent="0.2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</row>
    <row r="40" spans="1:46" x14ac:dyDescent="0.2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</row>
    <row r="41" spans="1:46" x14ac:dyDescent="0.2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</row>
    <row r="42" spans="1:46" x14ac:dyDescent="0.2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</row>
    <row r="43" spans="1:46" x14ac:dyDescent="0.2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</row>
    <row r="44" spans="1:46" x14ac:dyDescent="0.2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</row>
    <row r="45" spans="1:46" x14ac:dyDescent="0.2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</row>
    <row r="46" spans="1:46" x14ac:dyDescent="0.2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</row>
    <row r="47" spans="1:46" x14ac:dyDescent="0.2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</row>
    <row r="48" spans="1:46" x14ac:dyDescent="0.2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</row>
    <row r="49" spans="1:46" x14ac:dyDescent="0.2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</row>
    <row r="50" spans="1:46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</row>
    <row r="51" spans="1:46" x14ac:dyDescent="0.2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</row>
    <row r="52" spans="1:46" x14ac:dyDescent="0.2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</row>
    <row r="53" spans="1:46" x14ac:dyDescent="0.2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</row>
    <row r="54" spans="1:46" x14ac:dyDescent="0.2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</row>
    <row r="55" spans="1:46" x14ac:dyDescent="0.2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</row>
    <row r="56" spans="1:46" x14ac:dyDescent="0.2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</row>
    <row r="57" spans="1:46" x14ac:dyDescent="0.2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</row>
    <row r="58" spans="1:46" x14ac:dyDescent="0.2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</row>
    <row r="59" spans="1:46" x14ac:dyDescent="0.2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</row>
    <row r="60" spans="1:46" x14ac:dyDescent="0.2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</row>
    <row r="61" spans="1:46" x14ac:dyDescent="0.2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</row>
    <row r="62" spans="1:46" x14ac:dyDescent="0.2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</row>
    <row r="63" spans="1:46" x14ac:dyDescent="0.2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</row>
    <row r="64" spans="1:46" x14ac:dyDescent="0.2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</row>
    <row r="65" spans="1:46" x14ac:dyDescent="0.2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</row>
    <row r="66" spans="1:46" x14ac:dyDescent="0.2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</row>
    <row r="67" spans="1:46" x14ac:dyDescent="0.2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</row>
    <row r="68" spans="1:46" x14ac:dyDescent="0.2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</row>
    <row r="69" spans="1:46" x14ac:dyDescent="0.2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</row>
    <row r="70" spans="1:46" x14ac:dyDescent="0.2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</row>
    <row r="71" spans="1:46" x14ac:dyDescent="0.2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</row>
    <row r="72" spans="1:46" x14ac:dyDescent="0.2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</row>
    <row r="73" spans="1:46" x14ac:dyDescent="0.2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</row>
    <row r="74" spans="1:46" x14ac:dyDescent="0.2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</row>
    <row r="75" spans="1:46" x14ac:dyDescent="0.2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</row>
    <row r="76" spans="1:46" x14ac:dyDescent="0.2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</row>
    <row r="77" spans="1:46" x14ac:dyDescent="0.2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</row>
    <row r="78" spans="1:46" x14ac:dyDescent="0.2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</row>
    <row r="79" spans="1:46" x14ac:dyDescent="0.2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</row>
    <row r="80" spans="1:46" x14ac:dyDescent="0.2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</row>
    <row r="81" spans="1:46" x14ac:dyDescent="0.2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</row>
    <row r="82" spans="1:46" x14ac:dyDescent="0.2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</row>
    <row r="83" spans="1:46" x14ac:dyDescent="0.2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</row>
    <row r="84" spans="1:46" x14ac:dyDescent="0.2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</row>
    <row r="85" spans="1:46" x14ac:dyDescent="0.2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</row>
    <row r="86" spans="1:46" x14ac:dyDescent="0.2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</row>
    <row r="87" spans="1:46" x14ac:dyDescent="0.2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</row>
    <row r="88" spans="1:46" x14ac:dyDescent="0.2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</row>
    <row r="89" spans="1:46" x14ac:dyDescent="0.2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</row>
    <row r="90" spans="1:46" x14ac:dyDescent="0.2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</row>
    <row r="91" spans="1:46" x14ac:dyDescent="0.2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</row>
    <row r="92" spans="1:46" x14ac:dyDescent="0.2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</row>
    <row r="93" spans="1:46" x14ac:dyDescent="0.2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</row>
    <row r="94" spans="1:46" x14ac:dyDescent="0.2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</row>
    <row r="95" spans="1:46" x14ac:dyDescent="0.2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</row>
    <row r="96" spans="1:46" x14ac:dyDescent="0.2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</row>
    <row r="97" spans="1:46" x14ac:dyDescent="0.2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</row>
    <row r="98" spans="1:46" x14ac:dyDescent="0.2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</row>
    <row r="99" spans="1:46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</row>
    <row r="100" spans="1:46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</row>
    <row r="101" spans="1:46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</row>
    <row r="102" spans="1:46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</row>
    <row r="103" spans="1:46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</row>
    <row r="104" spans="1:46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</row>
    <row r="105" spans="1:46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</row>
    <row r="106" spans="1:46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</row>
    <row r="107" spans="1:46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</row>
    <row r="108" spans="1:46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</row>
    <row r="109" spans="1:46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</row>
    <row r="110" spans="1:46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</row>
    <row r="111" spans="1:46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</row>
    <row r="112" spans="1:46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</row>
    <row r="113" spans="1:46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</row>
    <row r="114" spans="1:46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</row>
    <row r="115" spans="1:46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</row>
    <row r="116" spans="1:46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</row>
    <row r="117" spans="1:46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</row>
    <row r="118" spans="1:46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</row>
    <row r="119" spans="1:46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</row>
    <row r="120" spans="1:46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</row>
    <row r="121" spans="1:46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</row>
    <row r="122" spans="1:46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</row>
    <row r="123" spans="1:46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</row>
    <row r="124" spans="1:46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</row>
    <row r="125" spans="1:46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</row>
    <row r="126" spans="1:46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</row>
    <row r="127" spans="1:46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</row>
    <row r="128" spans="1:46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</row>
    <row r="129" spans="1:46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</row>
    <row r="130" spans="1:46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</row>
    <row r="131" spans="1:46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</row>
    <row r="132" spans="1:46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</row>
    <row r="133" spans="1:46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</row>
    <row r="134" spans="1:46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</row>
    <row r="135" spans="1:46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</row>
    <row r="136" spans="1:46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</row>
    <row r="137" spans="1:46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</row>
    <row r="138" spans="1:46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</row>
    <row r="139" spans="1:46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</row>
    <row r="140" spans="1:46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</row>
    <row r="141" spans="1:46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</row>
    <row r="142" spans="1:46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</row>
    <row r="143" spans="1:46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</row>
    <row r="144" spans="1:46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</row>
    <row r="145" spans="1:46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</row>
    <row r="146" spans="1:46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</row>
    <row r="147" spans="1:46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</row>
    <row r="148" spans="1:46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</row>
    <row r="149" spans="1:46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</row>
    <row r="150" spans="1:46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</row>
    <row r="151" spans="1:46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</row>
    <row r="152" spans="1:46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</row>
    <row r="153" spans="1:46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</row>
    <row r="154" spans="1:46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</row>
    <row r="155" spans="1:46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</row>
    <row r="156" spans="1:46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</row>
    <row r="157" spans="1:46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</row>
    <row r="158" spans="1:46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</row>
    <row r="159" spans="1:46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</row>
    <row r="160" spans="1:46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</row>
    <row r="161" spans="1:46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</row>
    <row r="162" spans="1:46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</row>
    <row r="163" spans="1:46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</row>
    <row r="164" spans="1:46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</row>
    <row r="165" spans="1:46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</row>
    <row r="166" spans="1:46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</row>
    <row r="167" spans="1:46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</row>
    <row r="168" spans="1:46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</row>
    <row r="169" spans="1:46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</row>
    <row r="170" spans="1:46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</row>
    <row r="171" spans="1:46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</row>
    <row r="172" spans="1:46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</row>
    <row r="173" spans="1:46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</row>
    <row r="174" spans="1:46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</row>
    <row r="175" spans="1:46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</row>
    <row r="176" spans="1:46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</row>
    <row r="177" spans="1:46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</row>
    <row r="178" spans="1:46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</row>
    <row r="179" spans="1:46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</row>
    <row r="180" spans="1:46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</row>
    <row r="181" spans="1:46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</row>
    <row r="182" spans="1:46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</row>
    <row r="183" spans="1:46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</row>
    <row r="184" spans="1:46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</row>
    <row r="185" spans="1:46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</row>
    <row r="186" spans="1:46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</row>
    <row r="187" spans="1:46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</row>
    <row r="188" spans="1:46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</row>
    <row r="189" spans="1:46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</row>
    <row r="190" spans="1:46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</row>
    <row r="191" spans="1:46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</row>
    <row r="192" spans="1:46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</row>
    <row r="193" spans="1:46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</row>
    <row r="194" spans="1:46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</row>
    <row r="195" spans="1:46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</row>
    <row r="196" spans="1:46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</row>
    <row r="197" spans="1:46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</row>
    <row r="198" spans="1:46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</row>
    <row r="199" spans="1:46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</row>
    <row r="200" spans="1:46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</row>
    <row r="201" spans="1:46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</row>
    <row r="202" spans="1:46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</row>
    <row r="203" spans="1:46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</row>
    <row r="204" spans="1:46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</row>
    <row r="205" spans="1:46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</row>
    <row r="206" spans="1:46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</row>
    <row r="207" spans="1:46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</row>
    <row r="208" spans="1:46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</row>
    <row r="209" spans="1:46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</row>
    <row r="210" spans="1:46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</row>
    <row r="211" spans="1:46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</row>
    <row r="212" spans="1:46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</row>
    <row r="213" spans="1:46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</row>
    <row r="214" spans="1:46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</row>
    <row r="215" spans="1:46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</row>
    <row r="216" spans="1:46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</row>
    <row r="217" spans="1:46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</row>
    <row r="218" spans="1:46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</row>
    <row r="219" spans="1:46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</row>
    <row r="220" spans="1:46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</row>
    <row r="221" spans="1:46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</row>
    <row r="222" spans="1:46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</row>
    <row r="223" spans="1:46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</row>
    <row r="224" spans="1:46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</row>
    <row r="225" spans="1:46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</row>
    <row r="226" spans="1:46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</row>
    <row r="227" spans="1:46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</row>
    <row r="228" spans="1:46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</row>
    <row r="229" spans="1:46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</row>
    <row r="230" spans="1:46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</row>
    <row r="231" spans="1:46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</row>
    <row r="232" spans="1:46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</row>
    <row r="233" spans="1:46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</row>
    <row r="234" spans="1:46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</row>
    <row r="235" spans="1:46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</row>
    <row r="236" spans="1:46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</row>
    <row r="237" spans="1:46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</row>
    <row r="238" spans="1:46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</row>
    <row r="239" spans="1:46" x14ac:dyDescent="0.25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</row>
    <row r="240" spans="1:46" x14ac:dyDescent="0.25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</row>
    <row r="241" spans="1:46" x14ac:dyDescent="0.25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</row>
    <row r="242" spans="1:46" x14ac:dyDescent="0.25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</row>
    <row r="243" spans="1:46" x14ac:dyDescent="0.25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</row>
    <row r="244" spans="1:46" x14ac:dyDescent="0.25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</row>
    <row r="245" spans="1:46" x14ac:dyDescent="0.25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</row>
    <row r="246" spans="1:46" x14ac:dyDescent="0.25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</row>
    <row r="247" spans="1:46" x14ac:dyDescent="0.25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</row>
    <row r="248" spans="1:46" x14ac:dyDescent="0.25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</row>
    <row r="249" spans="1:46" x14ac:dyDescent="0.25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</row>
    <row r="250" spans="1:46" x14ac:dyDescent="0.25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  <c r="AQ250" s="13"/>
      <c r="AR250" s="13"/>
      <c r="AS250" s="13"/>
      <c r="AT250" s="13"/>
    </row>
    <row r="251" spans="1:46" x14ac:dyDescent="0.25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  <c r="AQ251" s="13"/>
      <c r="AR251" s="13"/>
      <c r="AS251" s="13"/>
      <c r="AT251" s="13"/>
    </row>
    <row r="252" spans="1:46" x14ac:dyDescent="0.25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  <c r="AQ252" s="13"/>
      <c r="AR252" s="13"/>
      <c r="AS252" s="13"/>
      <c r="AT252" s="13"/>
    </row>
    <row r="253" spans="1:46" x14ac:dyDescent="0.25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  <c r="AQ253" s="13"/>
      <c r="AR253" s="13"/>
      <c r="AS253" s="13"/>
      <c r="AT253" s="13"/>
    </row>
    <row r="254" spans="1:46" x14ac:dyDescent="0.25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  <c r="AQ254" s="13"/>
      <c r="AR254" s="13"/>
      <c r="AS254" s="13"/>
      <c r="AT254" s="13"/>
    </row>
    <row r="255" spans="1:46" x14ac:dyDescent="0.25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  <c r="AQ255" s="13"/>
      <c r="AR255" s="13"/>
      <c r="AS255" s="13"/>
      <c r="AT255" s="13"/>
    </row>
    <row r="256" spans="1:46" x14ac:dyDescent="0.25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  <c r="AQ256" s="13"/>
      <c r="AR256" s="13"/>
      <c r="AS256" s="13"/>
      <c r="AT256" s="13"/>
    </row>
    <row r="257" spans="1:46" x14ac:dyDescent="0.25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  <c r="AQ257" s="13"/>
      <c r="AR257" s="13"/>
      <c r="AS257" s="13"/>
      <c r="AT257" s="13"/>
    </row>
    <row r="258" spans="1:46" x14ac:dyDescent="0.25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  <c r="AQ258" s="13"/>
      <c r="AR258" s="13"/>
      <c r="AS258" s="13"/>
      <c r="AT258" s="13"/>
    </row>
    <row r="259" spans="1:46" x14ac:dyDescent="0.25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  <c r="AQ259" s="13"/>
      <c r="AR259" s="13"/>
      <c r="AS259" s="13"/>
      <c r="AT259" s="13"/>
    </row>
    <row r="260" spans="1:46" x14ac:dyDescent="0.25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  <c r="AQ260" s="13"/>
      <c r="AR260" s="13"/>
      <c r="AS260" s="13"/>
      <c r="AT260" s="13"/>
    </row>
    <row r="261" spans="1:46" x14ac:dyDescent="0.25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  <c r="AQ261" s="13"/>
      <c r="AR261" s="13"/>
      <c r="AS261" s="13"/>
      <c r="AT261" s="13"/>
    </row>
    <row r="262" spans="1:46" x14ac:dyDescent="0.25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  <c r="AQ262" s="13"/>
      <c r="AR262" s="13"/>
      <c r="AS262" s="13"/>
      <c r="AT262" s="13"/>
    </row>
    <row r="263" spans="1:46" x14ac:dyDescent="0.2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  <c r="AQ263" s="13"/>
      <c r="AR263" s="13"/>
      <c r="AS263" s="13"/>
      <c r="AT263" s="13"/>
    </row>
    <row r="264" spans="1:46" x14ac:dyDescent="0.25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  <c r="AQ264" s="13"/>
      <c r="AR264" s="13"/>
      <c r="AS264" s="13"/>
      <c r="AT264" s="13"/>
    </row>
    <row r="265" spans="1:46" x14ac:dyDescent="0.25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  <c r="AQ265" s="13"/>
      <c r="AR265" s="13"/>
      <c r="AS265" s="13"/>
      <c r="AT265" s="13"/>
    </row>
    <row r="266" spans="1:46" x14ac:dyDescent="0.25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  <c r="AQ266" s="13"/>
      <c r="AR266" s="13"/>
      <c r="AS266" s="13"/>
      <c r="AT266" s="13"/>
    </row>
    <row r="267" spans="1:46" x14ac:dyDescent="0.25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  <c r="AQ267" s="13"/>
      <c r="AR267" s="13"/>
      <c r="AS267" s="13"/>
      <c r="AT267" s="13"/>
    </row>
    <row r="268" spans="1:46" x14ac:dyDescent="0.25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  <c r="AQ268" s="13"/>
      <c r="AR268" s="13"/>
      <c r="AS268" s="13"/>
      <c r="AT268" s="13"/>
    </row>
    <row r="269" spans="1:46" x14ac:dyDescent="0.25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  <c r="AQ269" s="13"/>
      <c r="AR269" s="13"/>
      <c r="AS269" s="13"/>
      <c r="AT269" s="13"/>
    </row>
    <row r="270" spans="1:46" x14ac:dyDescent="0.25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  <c r="AQ270" s="13"/>
      <c r="AR270" s="13"/>
      <c r="AS270" s="13"/>
      <c r="AT270" s="13"/>
    </row>
    <row r="271" spans="1:46" x14ac:dyDescent="0.25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  <c r="AQ271" s="13"/>
      <c r="AR271" s="13"/>
      <c r="AS271" s="13"/>
      <c r="AT271" s="13"/>
    </row>
    <row r="272" spans="1:46" x14ac:dyDescent="0.25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  <c r="AQ272" s="13"/>
      <c r="AR272" s="13"/>
      <c r="AS272" s="13"/>
      <c r="AT272" s="13"/>
    </row>
    <row r="273" spans="1:46" x14ac:dyDescent="0.25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  <c r="AQ273" s="13"/>
      <c r="AR273" s="13"/>
      <c r="AS273" s="13"/>
      <c r="AT273" s="13"/>
    </row>
    <row r="274" spans="1:46" x14ac:dyDescent="0.25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  <c r="AQ274" s="13"/>
      <c r="AR274" s="13"/>
      <c r="AS274" s="13"/>
      <c r="AT274" s="13"/>
    </row>
    <row r="275" spans="1:46" x14ac:dyDescent="0.25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  <c r="AQ275" s="13"/>
      <c r="AR275" s="13"/>
      <c r="AS275" s="13"/>
      <c r="AT275" s="13"/>
    </row>
    <row r="276" spans="1:46" x14ac:dyDescent="0.25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  <c r="AQ276" s="13"/>
      <c r="AR276" s="13"/>
      <c r="AS276" s="13"/>
      <c r="AT276" s="13"/>
    </row>
    <row r="277" spans="1:46" x14ac:dyDescent="0.25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  <c r="AQ277" s="13"/>
      <c r="AR277" s="13"/>
      <c r="AS277" s="13"/>
      <c r="AT277" s="13"/>
    </row>
    <row r="278" spans="1:46" x14ac:dyDescent="0.25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  <c r="AQ278" s="13"/>
      <c r="AR278" s="13"/>
      <c r="AS278" s="13"/>
      <c r="AT278" s="13"/>
    </row>
    <row r="279" spans="1:46" x14ac:dyDescent="0.25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  <c r="AQ279" s="13"/>
      <c r="AR279" s="13"/>
      <c r="AS279" s="13"/>
      <c r="AT279" s="13"/>
    </row>
    <row r="280" spans="1:46" x14ac:dyDescent="0.25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  <c r="AQ280" s="13"/>
      <c r="AR280" s="13"/>
      <c r="AS280" s="13"/>
      <c r="AT280" s="13"/>
    </row>
    <row r="281" spans="1:46" x14ac:dyDescent="0.25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  <c r="AQ281" s="13"/>
      <c r="AR281" s="13"/>
      <c r="AS281" s="13"/>
      <c r="AT281" s="13"/>
    </row>
    <row r="282" spans="1:46" x14ac:dyDescent="0.25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  <c r="AQ282" s="13"/>
      <c r="AR282" s="13"/>
      <c r="AS282" s="13"/>
      <c r="AT282" s="13"/>
    </row>
    <row r="283" spans="1:46" x14ac:dyDescent="0.25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  <c r="AQ283" s="13"/>
      <c r="AR283" s="13"/>
      <c r="AS283" s="13"/>
      <c r="AT283" s="13"/>
    </row>
    <row r="284" spans="1:46" x14ac:dyDescent="0.25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  <c r="AQ284" s="13"/>
      <c r="AR284" s="13"/>
      <c r="AS284" s="13"/>
      <c r="AT284" s="13"/>
    </row>
    <row r="285" spans="1:46" x14ac:dyDescent="0.25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  <c r="AQ285" s="13"/>
      <c r="AR285" s="13"/>
      <c r="AS285" s="13"/>
      <c r="AT285" s="13"/>
    </row>
    <row r="286" spans="1:46" x14ac:dyDescent="0.25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  <c r="AQ286" s="13"/>
      <c r="AR286" s="13"/>
      <c r="AS286" s="13"/>
      <c r="AT286" s="13"/>
    </row>
    <row r="287" spans="1:46" x14ac:dyDescent="0.25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  <c r="AQ287" s="13"/>
      <c r="AR287" s="13"/>
      <c r="AS287" s="13"/>
      <c r="AT287" s="13"/>
    </row>
    <row r="288" spans="1:46" x14ac:dyDescent="0.25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  <c r="AQ288" s="13"/>
      <c r="AR288" s="13"/>
      <c r="AS288" s="13"/>
      <c r="AT288" s="13"/>
    </row>
    <row r="289" spans="1:46" x14ac:dyDescent="0.25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  <c r="AQ289" s="13"/>
      <c r="AR289" s="13"/>
      <c r="AS289" s="13"/>
      <c r="AT289" s="13"/>
    </row>
    <row r="290" spans="1:46" x14ac:dyDescent="0.25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  <c r="AQ290" s="13"/>
      <c r="AR290" s="13"/>
      <c r="AS290" s="13"/>
      <c r="AT290" s="13"/>
    </row>
    <row r="291" spans="1:46" x14ac:dyDescent="0.25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  <c r="AQ291" s="13"/>
      <c r="AR291" s="13"/>
      <c r="AS291" s="13"/>
      <c r="AT291" s="13"/>
    </row>
    <row r="292" spans="1:46" x14ac:dyDescent="0.25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  <c r="AQ292" s="13"/>
      <c r="AR292" s="13"/>
      <c r="AS292" s="13"/>
      <c r="AT292" s="13"/>
    </row>
    <row r="293" spans="1:46" x14ac:dyDescent="0.25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  <c r="AQ293" s="13"/>
      <c r="AR293" s="13"/>
      <c r="AS293" s="13"/>
      <c r="AT293" s="13"/>
    </row>
    <row r="294" spans="1:46" x14ac:dyDescent="0.25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  <c r="AQ294" s="13"/>
      <c r="AR294" s="13"/>
      <c r="AS294" s="13"/>
      <c r="AT294" s="13"/>
    </row>
    <row r="295" spans="1:46" x14ac:dyDescent="0.25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  <c r="AQ295" s="13"/>
      <c r="AR295" s="13"/>
      <c r="AS295" s="13"/>
      <c r="AT295" s="13"/>
    </row>
    <row r="296" spans="1:46" x14ac:dyDescent="0.25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  <c r="AQ296" s="13"/>
      <c r="AR296" s="13"/>
      <c r="AS296" s="13"/>
      <c r="AT296" s="13"/>
    </row>
    <row r="297" spans="1:46" x14ac:dyDescent="0.25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  <c r="AQ297" s="13"/>
      <c r="AR297" s="13"/>
      <c r="AS297" s="13"/>
      <c r="AT297" s="13"/>
    </row>
    <row r="298" spans="1:46" x14ac:dyDescent="0.25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  <c r="AQ298" s="13"/>
      <c r="AR298" s="13"/>
      <c r="AS298" s="13"/>
      <c r="AT298" s="13"/>
    </row>
    <row r="299" spans="1:46" x14ac:dyDescent="0.25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  <c r="AQ299" s="13"/>
      <c r="AR299" s="13"/>
      <c r="AS299" s="13"/>
      <c r="AT299" s="13"/>
    </row>
    <row r="300" spans="1:46" x14ac:dyDescent="0.25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  <c r="AQ300" s="13"/>
      <c r="AR300" s="13"/>
      <c r="AS300" s="13"/>
      <c r="AT300" s="13"/>
    </row>
    <row r="301" spans="1:46" x14ac:dyDescent="0.25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  <c r="AQ301" s="13"/>
      <c r="AR301" s="13"/>
      <c r="AS301" s="13"/>
      <c r="AT301" s="13"/>
    </row>
    <row r="302" spans="1:46" x14ac:dyDescent="0.25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  <c r="AQ302" s="13"/>
      <c r="AR302" s="13"/>
      <c r="AS302" s="13"/>
      <c r="AT302" s="13"/>
    </row>
    <row r="303" spans="1:46" x14ac:dyDescent="0.25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  <c r="AQ303" s="13"/>
      <c r="AR303" s="13"/>
      <c r="AS303" s="13"/>
      <c r="AT303" s="13"/>
    </row>
    <row r="304" spans="1:46" x14ac:dyDescent="0.25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  <c r="AQ304" s="13"/>
      <c r="AR304" s="13"/>
      <c r="AS304" s="13"/>
      <c r="AT304" s="13"/>
    </row>
    <row r="305" spans="1:46" x14ac:dyDescent="0.25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  <c r="AQ305" s="13"/>
      <c r="AR305" s="13"/>
      <c r="AS305" s="13"/>
      <c r="AT305" s="13"/>
    </row>
    <row r="306" spans="1:46" x14ac:dyDescent="0.25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  <c r="AQ306" s="13"/>
      <c r="AR306" s="13"/>
      <c r="AS306" s="13"/>
      <c r="AT306" s="13"/>
    </row>
    <row r="307" spans="1:46" x14ac:dyDescent="0.25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  <c r="AQ307" s="13"/>
      <c r="AR307" s="13"/>
      <c r="AS307" s="13"/>
      <c r="AT307" s="13"/>
    </row>
    <row r="308" spans="1:46" x14ac:dyDescent="0.25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  <c r="AQ308" s="13"/>
      <c r="AR308" s="13"/>
      <c r="AS308" s="13"/>
      <c r="AT308" s="13"/>
    </row>
    <row r="309" spans="1:46" x14ac:dyDescent="0.25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  <c r="AQ309" s="13"/>
      <c r="AR309" s="13"/>
      <c r="AS309" s="13"/>
      <c r="AT309" s="13"/>
    </row>
    <row r="310" spans="1:46" x14ac:dyDescent="0.25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  <c r="AQ310" s="13"/>
      <c r="AR310" s="13"/>
      <c r="AS310" s="13"/>
      <c r="AT310" s="13"/>
    </row>
    <row r="311" spans="1:46" x14ac:dyDescent="0.25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  <c r="AQ311" s="13"/>
      <c r="AR311" s="13"/>
      <c r="AS311" s="13"/>
      <c r="AT311" s="13"/>
    </row>
    <row r="312" spans="1:46" x14ac:dyDescent="0.25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  <c r="AQ312" s="13"/>
      <c r="AR312" s="13"/>
      <c r="AS312" s="13"/>
      <c r="AT312" s="13"/>
    </row>
    <row r="313" spans="1:46" x14ac:dyDescent="0.25">
      <c r="A313" s="13"/>
      <c r="B313" s="13"/>
      <c r="C313" s="13"/>
      <c r="D313" s="13"/>
      <c r="E313" s="13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  <c r="AQ313" s="13"/>
      <c r="AR313" s="13"/>
      <c r="AS313" s="13"/>
      <c r="AT313" s="13"/>
    </row>
    <row r="314" spans="1:46" x14ac:dyDescent="0.25">
      <c r="A314" s="13"/>
      <c r="B314" s="13"/>
      <c r="C314" s="13"/>
      <c r="D314" s="13"/>
      <c r="E314" s="13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  <c r="AQ314" s="13"/>
      <c r="AR314" s="13"/>
      <c r="AS314" s="13"/>
      <c r="AT314" s="13"/>
    </row>
    <row r="315" spans="1:46" x14ac:dyDescent="0.25">
      <c r="A315" s="13"/>
      <c r="B315" s="13"/>
      <c r="C315" s="13"/>
      <c r="D315" s="13"/>
      <c r="E315" s="13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  <c r="AQ315" s="13"/>
      <c r="AR315" s="13"/>
      <c r="AS315" s="13"/>
      <c r="AT315" s="13"/>
    </row>
    <row r="316" spans="1:46" x14ac:dyDescent="0.25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  <c r="AQ316" s="13"/>
      <c r="AR316" s="13"/>
      <c r="AS316" s="13"/>
      <c r="AT316" s="13"/>
    </row>
    <row r="317" spans="1:46" x14ac:dyDescent="0.25">
      <c r="A317" s="13"/>
      <c r="B317" s="13"/>
      <c r="C317" s="13"/>
      <c r="D317" s="13"/>
      <c r="E317" s="13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  <c r="AQ317" s="13"/>
      <c r="AR317" s="13"/>
      <c r="AS317" s="13"/>
      <c r="AT317" s="13"/>
    </row>
    <row r="318" spans="1:46" x14ac:dyDescent="0.25">
      <c r="A318" s="13"/>
      <c r="B318" s="13"/>
      <c r="C318" s="13"/>
      <c r="D318" s="13"/>
      <c r="E318" s="13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  <c r="AQ318" s="13"/>
      <c r="AR318" s="13"/>
      <c r="AS318" s="13"/>
      <c r="AT318" s="13"/>
    </row>
    <row r="319" spans="1:46" x14ac:dyDescent="0.25">
      <c r="A319" s="13"/>
      <c r="B319" s="13"/>
      <c r="C319" s="13"/>
      <c r="D319" s="13"/>
      <c r="E319" s="13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  <c r="AQ319" s="13"/>
      <c r="AR319" s="13"/>
      <c r="AS319" s="13"/>
      <c r="AT319" s="13"/>
    </row>
    <row r="320" spans="1:46" x14ac:dyDescent="0.25">
      <c r="A320" s="13"/>
      <c r="B320" s="13"/>
      <c r="C320" s="13"/>
      <c r="D320" s="13"/>
      <c r="E320" s="13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  <c r="AQ320" s="13"/>
      <c r="AR320" s="13"/>
      <c r="AS320" s="13"/>
      <c r="AT320" s="13"/>
    </row>
    <row r="321" spans="1:46" x14ac:dyDescent="0.25">
      <c r="A321" s="13"/>
      <c r="B321" s="13"/>
      <c r="C321" s="13"/>
      <c r="D321" s="13"/>
      <c r="E321" s="13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  <c r="AQ321" s="13"/>
      <c r="AR321" s="13"/>
      <c r="AS321" s="13"/>
      <c r="AT321" s="13"/>
    </row>
    <row r="322" spans="1:46" x14ac:dyDescent="0.25">
      <c r="A322" s="13"/>
      <c r="B322" s="13"/>
      <c r="C322" s="13"/>
      <c r="D322" s="13"/>
      <c r="E322" s="13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  <c r="AQ322" s="13"/>
      <c r="AR322" s="13"/>
      <c r="AS322" s="13"/>
      <c r="AT322" s="13"/>
    </row>
    <row r="323" spans="1:46" x14ac:dyDescent="0.25">
      <c r="A323" s="13"/>
      <c r="B323" s="13"/>
      <c r="C323" s="13"/>
      <c r="D323" s="13"/>
      <c r="E323" s="13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  <c r="AQ323" s="13"/>
      <c r="AR323" s="13"/>
      <c r="AS323" s="13"/>
      <c r="AT323" s="13"/>
    </row>
    <row r="324" spans="1:46" x14ac:dyDescent="0.25">
      <c r="A324" s="13"/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  <c r="AQ324" s="13"/>
      <c r="AR324" s="13"/>
      <c r="AS324" s="13"/>
      <c r="AT324" s="13"/>
    </row>
    <row r="325" spans="1:46" x14ac:dyDescent="0.25">
      <c r="A325" s="13"/>
      <c r="B325" s="13"/>
      <c r="C325" s="13"/>
      <c r="D325" s="13"/>
      <c r="E325" s="13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  <c r="AQ325" s="13"/>
      <c r="AR325" s="13"/>
      <c r="AS325" s="13"/>
      <c r="AT325" s="13"/>
    </row>
    <row r="326" spans="1:46" x14ac:dyDescent="0.25">
      <c r="A326" s="13"/>
      <c r="B326" s="13"/>
      <c r="C326" s="13"/>
      <c r="D326" s="13"/>
      <c r="E326" s="13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  <c r="AQ326" s="13"/>
      <c r="AR326" s="13"/>
      <c r="AS326" s="13"/>
      <c r="AT326" s="13"/>
    </row>
    <row r="327" spans="1:46" x14ac:dyDescent="0.25">
      <c r="A327" s="13"/>
      <c r="B327" s="13"/>
      <c r="C327" s="13"/>
      <c r="D327" s="13"/>
      <c r="E327" s="13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  <c r="AQ327" s="13"/>
      <c r="AR327" s="13"/>
      <c r="AS327" s="13"/>
      <c r="AT327" s="13"/>
    </row>
    <row r="328" spans="1:46" x14ac:dyDescent="0.25">
      <c r="A328" s="13"/>
      <c r="B328" s="13"/>
      <c r="C328" s="13"/>
      <c r="D328" s="13"/>
      <c r="E328" s="13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  <c r="AQ328" s="13"/>
      <c r="AR328" s="13"/>
      <c r="AS328" s="13"/>
      <c r="AT328" s="13"/>
    </row>
    <row r="329" spans="1:46" x14ac:dyDescent="0.25">
      <c r="A329" s="13"/>
      <c r="B329" s="13"/>
      <c r="C329" s="13"/>
      <c r="D329" s="13"/>
      <c r="E329" s="13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  <c r="AQ329" s="13"/>
      <c r="AR329" s="13"/>
      <c r="AS329" s="13"/>
      <c r="AT329" s="13"/>
    </row>
    <row r="330" spans="1:46" x14ac:dyDescent="0.25">
      <c r="A330" s="13"/>
      <c r="B330" s="13"/>
      <c r="C330" s="13"/>
      <c r="D330" s="13"/>
      <c r="E330" s="13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  <c r="AQ330" s="13"/>
      <c r="AR330" s="13"/>
      <c r="AS330" s="13"/>
      <c r="AT330" s="13"/>
    </row>
    <row r="331" spans="1:46" x14ac:dyDescent="0.25">
      <c r="A331" s="13"/>
      <c r="B331" s="13"/>
      <c r="C331" s="13"/>
      <c r="D331" s="13"/>
      <c r="E331" s="13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  <c r="AQ331" s="13"/>
      <c r="AR331" s="13"/>
      <c r="AS331" s="13"/>
      <c r="AT331" s="13"/>
    </row>
    <row r="332" spans="1:46" x14ac:dyDescent="0.25">
      <c r="A332" s="13"/>
      <c r="B332" s="13"/>
      <c r="C332" s="13"/>
      <c r="D332" s="13"/>
      <c r="E332" s="13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  <c r="AQ332" s="13"/>
      <c r="AR332" s="13"/>
      <c r="AS332" s="13"/>
      <c r="AT332" s="13"/>
    </row>
    <row r="333" spans="1:46" x14ac:dyDescent="0.25">
      <c r="A333" s="13"/>
      <c r="B333" s="13"/>
      <c r="C333" s="13"/>
      <c r="D333" s="13"/>
      <c r="E333" s="13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  <c r="AQ333" s="13"/>
      <c r="AR333" s="13"/>
      <c r="AS333" s="13"/>
      <c r="AT333" s="13"/>
    </row>
    <row r="334" spans="1:46" x14ac:dyDescent="0.25">
      <c r="A334" s="13"/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</row>
    <row r="335" spans="1:46" x14ac:dyDescent="0.25">
      <c r="A335" s="13"/>
      <c r="B335" s="13"/>
      <c r="C335" s="13"/>
      <c r="D335" s="13"/>
      <c r="E335" s="13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  <c r="AQ335" s="13"/>
      <c r="AR335" s="13"/>
      <c r="AS335" s="13"/>
      <c r="AT335" s="13"/>
    </row>
    <row r="336" spans="1:46" x14ac:dyDescent="0.25">
      <c r="A336" s="13"/>
      <c r="B336" s="13"/>
      <c r="C336" s="13"/>
      <c r="D336" s="13"/>
      <c r="E336" s="13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  <c r="AQ336" s="13"/>
      <c r="AR336" s="13"/>
      <c r="AS336" s="13"/>
      <c r="AT336" s="13"/>
    </row>
    <row r="337" spans="1:46" x14ac:dyDescent="0.25">
      <c r="A337" s="13"/>
      <c r="B337" s="13"/>
      <c r="C337" s="13"/>
      <c r="D337" s="13"/>
      <c r="E337" s="13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  <c r="AQ337" s="13"/>
      <c r="AR337" s="13"/>
      <c r="AS337" s="13"/>
      <c r="AT337" s="13"/>
    </row>
    <row r="338" spans="1:46" x14ac:dyDescent="0.25">
      <c r="A338" s="13"/>
      <c r="B338" s="13"/>
      <c r="C338" s="13"/>
      <c r="D338" s="13"/>
      <c r="E338" s="13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  <c r="AQ338" s="13"/>
      <c r="AR338" s="13"/>
      <c r="AS338" s="13"/>
      <c r="AT338" s="13"/>
    </row>
    <row r="339" spans="1:46" x14ac:dyDescent="0.25">
      <c r="A339" s="13"/>
      <c r="B339" s="13"/>
      <c r="C339" s="13"/>
      <c r="D339" s="13"/>
      <c r="E339" s="13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  <c r="AQ339" s="13"/>
      <c r="AR339" s="13"/>
      <c r="AS339" s="13"/>
      <c r="AT339" s="13"/>
    </row>
    <row r="340" spans="1:46" x14ac:dyDescent="0.25">
      <c r="A340" s="13"/>
      <c r="B340" s="13"/>
      <c r="C340" s="13"/>
      <c r="D340" s="13"/>
      <c r="E340" s="13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  <c r="AQ340" s="13"/>
      <c r="AR340" s="13"/>
      <c r="AS340" s="13"/>
      <c r="AT340" s="13"/>
    </row>
    <row r="341" spans="1:46" x14ac:dyDescent="0.25">
      <c r="A341" s="13"/>
      <c r="B341" s="13"/>
      <c r="C341" s="13"/>
      <c r="D341" s="13"/>
      <c r="E341" s="13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  <c r="AQ341" s="13"/>
      <c r="AR341" s="13"/>
      <c r="AS341" s="13"/>
      <c r="AT341" s="13"/>
    </row>
    <row r="342" spans="1:46" x14ac:dyDescent="0.25">
      <c r="A342" s="13"/>
      <c r="B342" s="13"/>
      <c r="C342" s="13"/>
      <c r="D342" s="13"/>
      <c r="E342" s="13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  <c r="AQ342" s="13"/>
      <c r="AR342" s="13"/>
      <c r="AS342" s="13"/>
      <c r="AT342" s="13"/>
    </row>
    <row r="343" spans="1:46" x14ac:dyDescent="0.25">
      <c r="A343" s="13"/>
      <c r="B343" s="13"/>
      <c r="C343" s="13"/>
      <c r="D343" s="13"/>
      <c r="E343" s="13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  <c r="AQ343" s="13"/>
      <c r="AR343" s="13"/>
      <c r="AS343" s="13"/>
      <c r="AT343" s="13"/>
    </row>
    <row r="344" spans="1:46" x14ac:dyDescent="0.25">
      <c r="A344" s="13"/>
      <c r="B344" s="13"/>
      <c r="C344" s="13"/>
      <c r="D344" s="13"/>
      <c r="E344" s="13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  <c r="AQ344" s="13"/>
      <c r="AR344" s="13"/>
      <c r="AS344" s="13"/>
      <c r="AT344" s="13"/>
    </row>
    <row r="345" spans="1:46" x14ac:dyDescent="0.25">
      <c r="A345" s="13"/>
      <c r="B345" s="13"/>
      <c r="C345" s="13"/>
      <c r="D345" s="13"/>
      <c r="E345" s="13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  <c r="AQ345" s="13"/>
      <c r="AR345" s="13"/>
      <c r="AS345" s="13"/>
      <c r="AT345" s="13"/>
    </row>
    <row r="346" spans="1:46" x14ac:dyDescent="0.25">
      <c r="A346" s="13"/>
      <c r="B346" s="13"/>
      <c r="C346" s="13"/>
      <c r="D346" s="13"/>
      <c r="E346" s="13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  <c r="AQ346" s="13"/>
      <c r="AR346" s="13"/>
      <c r="AS346" s="13"/>
      <c r="AT346" s="13"/>
    </row>
    <row r="347" spans="1:46" x14ac:dyDescent="0.25">
      <c r="A347" s="13"/>
      <c r="B347" s="13"/>
      <c r="C347" s="13"/>
      <c r="D347" s="13"/>
      <c r="E347" s="13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  <c r="AQ347" s="13"/>
      <c r="AR347" s="13"/>
      <c r="AS347" s="13"/>
      <c r="AT347" s="13"/>
    </row>
    <row r="348" spans="1:46" x14ac:dyDescent="0.25">
      <c r="A348" s="13"/>
      <c r="B348" s="13"/>
      <c r="C348" s="13"/>
      <c r="D348" s="13"/>
      <c r="E348" s="13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  <c r="AQ348" s="13"/>
      <c r="AR348" s="13"/>
      <c r="AS348" s="13"/>
      <c r="AT348" s="13"/>
    </row>
    <row r="349" spans="1:46" x14ac:dyDescent="0.25">
      <c r="A349" s="13"/>
      <c r="B349" s="13"/>
      <c r="C349" s="13"/>
      <c r="D349" s="13"/>
      <c r="E349" s="13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  <c r="AQ349" s="13"/>
      <c r="AR349" s="13"/>
      <c r="AS349" s="13"/>
      <c r="AT349" s="13"/>
    </row>
    <row r="350" spans="1:46" x14ac:dyDescent="0.25">
      <c r="A350" s="13"/>
      <c r="B350" s="13"/>
      <c r="C350" s="13"/>
      <c r="D350" s="13"/>
      <c r="E350" s="13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  <c r="AQ350" s="13"/>
      <c r="AR350" s="13"/>
      <c r="AS350" s="13"/>
      <c r="AT350" s="13"/>
    </row>
    <row r="351" spans="1:46" x14ac:dyDescent="0.25">
      <c r="A351" s="13"/>
      <c r="B351" s="13"/>
      <c r="C351" s="13"/>
      <c r="D351" s="13"/>
      <c r="E351" s="13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  <c r="AQ351" s="13"/>
      <c r="AR351" s="13"/>
      <c r="AS351" s="13"/>
      <c r="AT351" s="13"/>
    </row>
    <row r="352" spans="1:46" x14ac:dyDescent="0.25">
      <c r="A352" s="13"/>
      <c r="B352" s="13"/>
      <c r="C352" s="13"/>
      <c r="D352" s="13"/>
      <c r="E352" s="13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  <c r="AQ352" s="13"/>
      <c r="AR352" s="13"/>
      <c r="AS352" s="13"/>
      <c r="AT352" s="13"/>
    </row>
    <row r="353" spans="1:46" x14ac:dyDescent="0.25">
      <c r="A353" s="13"/>
      <c r="B353" s="13"/>
      <c r="C353" s="13"/>
      <c r="D353" s="13"/>
      <c r="E353" s="13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  <c r="AQ353" s="13"/>
      <c r="AR353" s="13"/>
      <c r="AS353" s="13"/>
      <c r="AT353" s="13"/>
    </row>
    <row r="354" spans="1:46" x14ac:dyDescent="0.25">
      <c r="A354" s="13"/>
      <c r="B354" s="13"/>
      <c r="C354" s="13"/>
      <c r="D354" s="13"/>
      <c r="E354" s="13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  <c r="AQ354" s="13"/>
      <c r="AR354" s="13"/>
      <c r="AS354" s="13"/>
      <c r="AT354" s="13"/>
    </row>
    <row r="355" spans="1:46" x14ac:dyDescent="0.25">
      <c r="A355" s="13"/>
      <c r="B355" s="13"/>
      <c r="C355" s="13"/>
      <c r="D355" s="13"/>
      <c r="E355" s="13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  <c r="AQ355" s="13"/>
      <c r="AR355" s="13"/>
      <c r="AS355" s="13"/>
      <c r="AT355" s="13"/>
    </row>
    <row r="356" spans="1:46" x14ac:dyDescent="0.25">
      <c r="A356" s="13"/>
      <c r="B356" s="13"/>
      <c r="C356" s="13"/>
      <c r="D356" s="13"/>
      <c r="E356" s="13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  <c r="AQ356" s="13"/>
      <c r="AR356" s="13"/>
      <c r="AS356" s="13"/>
      <c r="AT356" s="13"/>
    </row>
    <row r="357" spans="1:46" x14ac:dyDescent="0.25">
      <c r="A357" s="13"/>
      <c r="B357" s="13"/>
      <c r="C357" s="13"/>
      <c r="D357" s="13"/>
      <c r="E357" s="13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  <c r="AQ357" s="13"/>
      <c r="AR357" s="13"/>
      <c r="AS357" s="13"/>
      <c r="AT357" s="13"/>
    </row>
    <row r="358" spans="1:46" x14ac:dyDescent="0.25">
      <c r="A358" s="13"/>
      <c r="B358" s="13"/>
      <c r="C358" s="13"/>
      <c r="D358" s="13"/>
      <c r="E358" s="13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  <c r="AQ358" s="13"/>
      <c r="AR358" s="13"/>
      <c r="AS358" s="13"/>
      <c r="AT358" s="13"/>
    </row>
    <row r="359" spans="1:46" x14ac:dyDescent="0.25">
      <c r="A359" s="13"/>
      <c r="B359" s="13"/>
      <c r="C359" s="13"/>
      <c r="D359" s="13"/>
      <c r="E359" s="13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  <c r="AQ359" s="13"/>
      <c r="AR359" s="13"/>
      <c r="AS359" s="13"/>
      <c r="AT359" s="13"/>
    </row>
    <row r="360" spans="1:46" x14ac:dyDescent="0.25">
      <c r="A360" s="13"/>
      <c r="B360" s="13"/>
      <c r="C360" s="13"/>
      <c r="D360" s="13"/>
      <c r="E360" s="13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  <c r="AQ360" s="13"/>
      <c r="AR360" s="13"/>
      <c r="AS360" s="13"/>
      <c r="AT360" s="13"/>
    </row>
    <row r="361" spans="1:46" x14ac:dyDescent="0.25">
      <c r="A361" s="13"/>
      <c r="B361" s="13"/>
      <c r="C361" s="13"/>
      <c r="D361" s="13"/>
      <c r="E361" s="13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  <c r="AQ361" s="13"/>
      <c r="AR361" s="13"/>
      <c r="AS361" s="13"/>
      <c r="AT361" s="13"/>
    </row>
    <row r="362" spans="1:46" x14ac:dyDescent="0.25">
      <c r="A362" s="13"/>
      <c r="B362" s="13"/>
      <c r="C362" s="13"/>
      <c r="D362" s="13"/>
      <c r="E362" s="13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  <c r="AQ362" s="13"/>
      <c r="AR362" s="13"/>
      <c r="AS362" s="13"/>
      <c r="AT362" s="13"/>
    </row>
    <row r="363" spans="1:46" x14ac:dyDescent="0.25">
      <c r="A363" s="13"/>
      <c r="B363" s="13"/>
      <c r="C363" s="13"/>
      <c r="D363" s="13"/>
      <c r="E363" s="13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  <c r="AQ363" s="13"/>
      <c r="AR363" s="13"/>
      <c r="AS363" s="13"/>
      <c r="AT363" s="13"/>
    </row>
    <row r="364" spans="1:46" x14ac:dyDescent="0.25">
      <c r="A364" s="13"/>
      <c r="B364" s="13"/>
      <c r="C364" s="13"/>
      <c r="D364" s="13"/>
      <c r="E364" s="13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  <c r="AQ364" s="13"/>
      <c r="AR364" s="13"/>
      <c r="AS364" s="13"/>
      <c r="AT364" s="13"/>
    </row>
    <row r="365" spans="1:46" x14ac:dyDescent="0.25">
      <c r="A365" s="13"/>
      <c r="B365" s="13"/>
      <c r="C365" s="13"/>
      <c r="D365" s="13"/>
      <c r="E365" s="13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  <c r="AQ365" s="13"/>
      <c r="AR365" s="13"/>
      <c r="AS365" s="13"/>
      <c r="AT365" s="13"/>
    </row>
    <row r="366" spans="1:46" x14ac:dyDescent="0.25">
      <c r="A366" s="13"/>
      <c r="B366" s="13"/>
      <c r="C366" s="13"/>
      <c r="D366" s="13"/>
      <c r="E366" s="13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  <c r="AQ366" s="13"/>
      <c r="AR366" s="13"/>
      <c r="AS366" s="13"/>
      <c r="AT366" s="13"/>
    </row>
    <row r="367" spans="1:46" x14ac:dyDescent="0.25">
      <c r="A367" s="13"/>
      <c r="B367" s="13"/>
      <c r="C367" s="13"/>
      <c r="D367" s="13"/>
      <c r="E367" s="13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  <c r="AQ367" s="13"/>
      <c r="AR367" s="13"/>
      <c r="AS367" s="13"/>
      <c r="AT367" s="13"/>
    </row>
    <row r="368" spans="1:46" x14ac:dyDescent="0.25">
      <c r="A368" s="13"/>
      <c r="B368" s="13"/>
      <c r="C368" s="13"/>
      <c r="D368" s="13"/>
      <c r="E368" s="13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  <c r="AQ368" s="13"/>
      <c r="AR368" s="13"/>
      <c r="AS368" s="13"/>
      <c r="AT368" s="13"/>
    </row>
    <row r="369" spans="1:46" x14ac:dyDescent="0.25">
      <c r="A369" s="13"/>
      <c r="B369" s="13"/>
      <c r="C369" s="13"/>
      <c r="D369" s="13"/>
      <c r="E369" s="13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  <c r="AQ369" s="13"/>
      <c r="AR369" s="13"/>
      <c r="AS369" s="13"/>
      <c r="AT369" s="13"/>
    </row>
    <row r="370" spans="1:46" x14ac:dyDescent="0.25">
      <c r="A370" s="13"/>
      <c r="B370" s="13"/>
      <c r="C370" s="13"/>
      <c r="D370" s="13"/>
      <c r="E370" s="13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  <c r="AQ370" s="13"/>
      <c r="AR370" s="13"/>
      <c r="AS370" s="13"/>
      <c r="AT370" s="13"/>
    </row>
    <row r="371" spans="1:46" x14ac:dyDescent="0.25">
      <c r="A371" s="13"/>
      <c r="B371" s="13"/>
      <c r="C371" s="13"/>
      <c r="D371" s="13"/>
      <c r="E371" s="13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  <c r="AQ371" s="13"/>
      <c r="AR371" s="13"/>
      <c r="AS371" s="13"/>
      <c r="AT371" s="13"/>
    </row>
    <row r="372" spans="1:46" x14ac:dyDescent="0.25">
      <c r="A372" s="13"/>
      <c r="B372" s="13"/>
      <c r="C372" s="13"/>
      <c r="D372" s="13"/>
      <c r="E372" s="13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  <c r="AQ372" s="13"/>
      <c r="AR372" s="13"/>
      <c r="AS372" s="13"/>
      <c r="AT372" s="13"/>
    </row>
    <row r="373" spans="1:46" x14ac:dyDescent="0.25">
      <c r="A373" s="13"/>
      <c r="B373" s="13"/>
      <c r="C373" s="13"/>
      <c r="D373" s="13"/>
      <c r="E373" s="13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  <c r="AQ373" s="13"/>
      <c r="AR373" s="13"/>
      <c r="AS373" s="13"/>
      <c r="AT373" s="13"/>
    </row>
    <row r="374" spans="1:46" x14ac:dyDescent="0.25">
      <c r="A374" s="13"/>
      <c r="B374" s="13"/>
      <c r="C374" s="13"/>
      <c r="D374" s="13"/>
      <c r="E374" s="13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  <c r="AQ374" s="13"/>
      <c r="AR374" s="13"/>
      <c r="AS374" s="13"/>
      <c r="AT374" s="13"/>
    </row>
    <row r="375" spans="1:46" x14ac:dyDescent="0.25">
      <c r="A375" s="13"/>
      <c r="B375" s="13"/>
      <c r="C375" s="13"/>
      <c r="D375" s="13"/>
      <c r="E375" s="13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  <c r="AQ375" s="13"/>
      <c r="AR375" s="13"/>
      <c r="AS375" s="13"/>
      <c r="AT375" s="13"/>
    </row>
    <row r="376" spans="1:46" x14ac:dyDescent="0.25">
      <c r="A376" s="13"/>
      <c r="B376" s="13"/>
      <c r="C376" s="13"/>
      <c r="D376" s="13"/>
      <c r="E376" s="13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  <c r="AQ376" s="13"/>
      <c r="AR376" s="13"/>
      <c r="AS376" s="13"/>
      <c r="AT376" s="13"/>
    </row>
    <row r="377" spans="1:46" x14ac:dyDescent="0.25">
      <c r="A377" s="13"/>
      <c r="B377" s="13"/>
      <c r="C377" s="13"/>
      <c r="D377" s="13"/>
      <c r="E377" s="13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  <c r="AQ377" s="13"/>
      <c r="AR377" s="13"/>
      <c r="AS377" s="13"/>
      <c r="AT377" s="13"/>
    </row>
    <row r="378" spans="1:46" x14ac:dyDescent="0.25">
      <c r="A378" s="13"/>
      <c r="B378" s="13"/>
      <c r="C378" s="13"/>
      <c r="D378" s="13"/>
      <c r="E378" s="13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  <c r="AQ378" s="13"/>
      <c r="AR378" s="13"/>
      <c r="AS378" s="13"/>
      <c r="AT378" s="13"/>
    </row>
    <row r="379" spans="1:46" x14ac:dyDescent="0.25">
      <c r="A379" s="13"/>
      <c r="B379" s="13"/>
      <c r="C379" s="13"/>
      <c r="D379" s="13"/>
      <c r="E379" s="13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  <c r="AQ379" s="13"/>
      <c r="AR379" s="13"/>
      <c r="AS379" s="13"/>
      <c r="AT379" s="13"/>
    </row>
    <row r="380" spans="1:46" x14ac:dyDescent="0.25">
      <c r="A380" s="13"/>
      <c r="B380" s="13"/>
      <c r="C380" s="13"/>
      <c r="D380" s="13"/>
      <c r="E380" s="13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  <c r="AQ380" s="13"/>
      <c r="AR380" s="13"/>
      <c r="AS380" s="13"/>
      <c r="AT380" s="13"/>
    </row>
    <row r="381" spans="1:46" x14ac:dyDescent="0.25">
      <c r="A381" s="13"/>
      <c r="B381" s="13"/>
      <c r="C381" s="13"/>
      <c r="D381" s="13"/>
      <c r="E381" s="13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  <c r="AQ381" s="13"/>
      <c r="AR381" s="13"/>
      <c r="AS381" s="13"/>
      <c r="AT381" s="13"/>
    </row>
    <row r="382" spans="1:46" x14ac:dyDescent="0.25">
      <c r="A382" s="13"/>
      <c r="B382" s="13"/>
      <c r="C382" s="13"/>
      <c r="D382" s="13"/>
      <c r="E382" s="13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  <c r="AQ382" s="13"/>
      <c r="AR382" s="13"/>
      <c r="AS382" s="13"/>
      <c r="AT382" s="13"/>
    </row>
    <row r="383" spans="1:46" x14ac:dyDescent="0.25">
      <c r="A383" s="13"/>
      <c r="B383" s="13"/>
      <c r="C383" s="13"/>
      <c r="D383" s="13"/>
      <c r="E383" s="13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  <c r="AQ383" s="13"/>
      <c r="AR383" s="13"/>
      <c r="AS383" s="13"/>
      <c r="AT383" s="13"/>
    </row>
    <row r="384" spans="1:46" x14ac:dyDescent="0.25">
      <c r="A384" s="13"/>
      <c r="B384" s="13"/>
      <c r="C384" s="13"/>
      <c r="D384" s="13"/>
      <c r="E384" s="13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  <c r="AQ384" s="13"/>
      <c r="AR384" s="13"/>
      <c r="AS384" s="13"/>
      <c r="AT384" s="13"/>
    </row>
    <row r="385" spans="1:46" x14ac:dyDescent="0.25">
      <c r="A385" s="13"/>
      <c r="B385" s="13"/>
      <c r="C385" s="13"/>
      <c r="D385" s="13"/>
      <c r="E385" s="13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  <c r="AQ385" s="13"/>
      <c r="AR385" s="13"/>
      <c r="AS385" s="13"/>
      <c r="AT385" s="13"/>
    </row>
    <row r="386" spans="1:46" x14ac:dyDescent="0.25">
      <c r="A386" s="13"/>
      <c r="B386" s="13"/>
      <c r="C386" s="13"/>
      <c r="D386" s="13"/>
      <c r="E386" s="13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  <c r="AQ386" s="13"/>
      <c r="AR386" s="13"/>
      <c r="AS386" s="13"/>
      <c r="AT386" s="13"/>
    </row>
    <row r="387" spans="1:46" x14ac:dyDescent="0.25">
      <c r="A387" s="13"/>
      <c r="B387" s="13"/>
      <c r="C387" s="13"/>
      <c r="D387" s="13"/>
      <c r="E387" s="13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  <c r="AQ387" s="13"/>
      <c r="AR387" s="13"/>
      <c r="AS387" s="13"/>
      <c r="AT387" s="13"/>
    </row>
    <row r="388" spans="1:46" x14ac:dyDescent="0.25">
      <c r="A388" s="13"/>
      <c r="B388" s="13"/>
      <c r="C388" s="13"/>
      <c r="D388" s="13"/>
      <c r="E388" s="13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  <c r="AQ388" s="13"/>
      <c r="AR388" s="13"/>
      <c r="AS388" s="13"/>
      <c r="AT388" s="13"/>
    </row>
    <row r="389" spans="1:46" x14ac:dyDescent="0.25">
      <c r="A389" s="13"/>
      <c r="B389" s="13"/>
      <c r="C389" s="13"/>
      <c r="D389" s="13"/>
      <c r="E389" s="13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  <c r="AQ389" s="13"/>
      <c r="AR389" s="13"/>
      <c r="AS389" s="13"/>
      <c r="AT389" s="13"/>
    </row>
    <row r="390" spans="1:46" x14ac:dyDescent="0.25">
      <c r="A390" s="13"/>
      <c r="B390" s="13"/>
      <c r="C390" s="13"/>
      <c r="D390" s="13"/>
      <c r="E390" s="13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  <c r="AQ390" s="13"/>
      <c r="AR390" s="13"/>
      <c r="AS390" s="13"/>
      <c r="AT390" s="13"/>
    </row>
    <row r="391" spans="1:46" x14ac:dyDescent="0.25">
      <c r="A391" s="13"/>
      <c r="B391" s="13"/>
      <c r="C391" s="13"/>
      <c r="D391" s="13"/>
      <c r="E391" s="13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  <c r="AQ391" s="13"/>
      <c r="AR391" s="13"/>
      <c r="AS391" s="13"/>
      <c r="AT391" s="13"/>
    </row>
    <row r="392" spans="1:46" x14ac:dyDescent="0.25">
      <c r="A392" s="13"/>
      <c r="B392" s="13"/>
      <c r="C392" s="13"/>
      <c r="D392" s="13"/>
      <c r="E392" s="13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  <c r="AQ392" s="13"/>
      <c r="AR392" s="13"/>
      <c r="AS392" s="13"/>
      <c r="AT392" s="13"/>
    </row>
    <row r="393" spans="1:46" x14ac:dyDescent="0.25">
      <c r="A393" s="13"/>
      <c r="B393" s="13"/>
      <c r="C393" s="13"/>
      <c r="D393" s="13"/>
      <c r="E393" s="13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  <c r="AQ393" s="13"/>
      <c r="AR393" s="13"/>
      <c r="AS393" s="13"/>
      <c r="AT393" s="13"/>
    </row>
    <row r="394" spans="1:46" x14ac:dyDescent="0.25">
      <c r="A394" s="13"/>
      <c r="B394" s="13"/>
      <c r="C394" s="13"/>
      <c r="D394" s="13"/>
      <c r="E394" s="13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  <c r="AQ394" s="13"/>
      <c r="AR394" s="13"/>
      <c r="AS394" s="13"/>
      <c r="AT394" s="13"/>
    </row>
    <row r="395" spans="1:46" x14ac:dyDescent="0.25">
      <c r="A395" s="13"/>
      <c r="B395" s="13"/>
      <c r="C395" s="13"/>
      <c r="D395" s="13"/>
      <c r="E395" s="13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  <c r="AQ395" s="13"/>
      <c r="AR395" s="13"/>
      <c r="AS395" s="13"/>
      <c r="AT395" s="13"/>
    </row>
    <row r="396" spans="1:46" x14ac:dyDescent="0.25">
      <c r="A396" s="13"/>
      <c r="B396" s="13"/>
      <c r="C396" s="13"/>
      <c r="D396" s="13"/>
      <c r="E396" s="13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  <c r="AQ396" s="13"/>
      <c r="AR396" s="13"/>
      <c r="AS396" s="13"/>
      <c r="AT396" s="13"/>
    </row>
    <row r="397" spans="1:46" x14ac:dyDescent="0.25">
      <c r="A397" s="13"/>
      <c r="B397" s="13"/>
      <c r="C397" s="13"/>
      <c r="D397" s="13"/>
      <c r="E397" s="13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  <c r="AQ397" s="13"/>
      <c r="AR397" s="13"/>
      <c r="AS397" s="13"/>
      <c r="AT397" s="13"/>
    </row>
    <row r="398" spans="1:46" x14ac:dyDescent="0.25">
      <c r="A398" s="13"/>
      <c r="B398" s="13"/>
      <c r="C398" s="13"/>
      <c r="D398" s="13"/>
      <c r="E398" s="13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  <c r="AQ398" s="13"/>
      <c r="AR398" s="13"/>
      <c r="AS398" s="13"/>
      <c r="AT398" s="13"/>
    </row>
    <row r="399" spans="1:46" x14ac:dyDescent="0.25">
      <c r="A399" s="13"/>
      <c r="B399" s="13"/>
      <c r="C399" s="13"/>
      <c r="D399" s="13"/>
      <c r="E399" s="13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  <c r="AQ399" s="13"/>
      <c r="AR399" s="13"/>
      <c r="AS399" s="13"/>
      <c r="AT399" s="13"/>
    </row>
    <row r="400" spans="1:46" x14ac:dyDescent="0.25">
      <c r="A400" s="13"/>
      <c r="B400" s="13"/>
      <c r="C400" s="13"/>
      <c r="D400" s="13"/>
      <c r="E400" s="13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  <c r="AQ400" s="13"/>
      <c r="AR400" s="13"/>
      <c r="AS400" s="13"/>
      <c r="AT400" s="13"/>
    </row>
    <row r="401" spans="1:46" x14ac:dyDescent="0.25">
      <c r="A401" s="13"/>
      <c r="B401" s="13"/>
      <c r="C401" s="13"/>
      <c r="D401" s="13"/>
      <c r="E401" s="13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  <c r="AQ401" s="13"/>
      <c r="AR401" s="13"/>
      <c r="AS401" s="13"/>
      <c r="AT401" s="13"/>
    </row>
    <row r="402" spans="1:46" x14ac:dyDescent="0.25">
      <c r="A402" s="13"/>
      <c r="B402" s="13"/>
      <c r="C402" s="13"/>
      <c r="D402" s="13"/>
      <c r="E402" s="13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  <c r="AQ402" s="13"/>
      <c r="AR402" s="13"/>
      <c r="AS402" s="13"/>
      <c r="AT402" s="13"/>
    </row>
    <row r="403" spans="1:46" x14ac:dyDescent="0.25">
      <c r="A403" s="13"/>
      <c r="B403" s="13"/>
      <c r="C403" s="13"/>
      <c r="D403" s="13"/>
      <c r="E403" s="13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  <c r="AQ403" s="13"/>
      <c r="AR403" s="13"/>
      <c r="AS403" s="13"/>
      <c r="AT403" s="13"/>
    </row>
    <row r="404" spans="1:46" x14ac:dyDescent="0.25">
      <c r="A404" s="13"/>
      <c r="B404" s="13"/>
      <c r="C404" s="13"/>
      <c r="D404" s="13"/>
      <c r="E404" s="13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  <c r="AQ404" s="13"/>
      <c r="AR404" s="13"/>
      <c r="AS404" s="13"/>
      <c r="AT404" s="13"/>
    </row>
    <row r="405" spans="1:46" x14ac:dyDescent="0.25">
      <c r="A405" s="13"/>
      <c r="B405" s="13"/>
      <c r="C405" s="13"/>
      <c r="D405" s="13"/>
      <c r="E405" s="13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  <c r="AQ405" s="13"/>
      <c r="AR405" s="13"/>
      <c r="AS405" s="13"/>
      <c r="AT405" s="13"/>
    </row>
    <row r="406" spans="1:46" x14ac:dyDescent="0.25">
      <c r="A406" s="13"/>
      <c r="B406" s="13"/>
      <c r="C406" s="13"/>
      <c r="D406" s="13"/>
      <c r="E406" s="13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  <c r="AQ406" s="13"/>
      <c r="AR406" s="13"/>
      <c r="AS406" s="13"/>
      <c r="AT406" s="13"/>
    </row>
    <row r="407" spans="1:46" x14ac:dyDescent="0.25">
      <c r="A407" s="13"/>
      <c r="B407" s="13"/>
      <c r="C407" s="13"/>
      <c r="D407" s="13"/>
      <c r="E407" s="13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  <c r="AQ407" s="13"/>
      <c r="AR407" s="13"/>
      <c r="AS407" s="13"/>
      <c r="AT407" s="13"/>
    </row>
    <row r="408" spans="1:46" x14ac:dyDescent="0.25">
      <c r="A408" s="13"/>
      <c r="B408" s="13"/>
      <c r="C408" s="13"/>
      <c r="D408" s="13"/>
      <c r="E408" s="13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  <c r="AQ408" s="13"/>
      <c r="AR408" s="13"/>
      <c r="AS408" s="13"/>
      <c r="AT408" s="13"/>
    </row>
    <row r="409" spans="1:46" x14ac:dyDescent="0.25">
      <c r="A409" s="13"/>
      <c r="B409" s="13"/>
      <c r="C409" s="13"/>
      <c r="D409" s="13"/>
      <c r="E409" s="13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  <c r="AQ409" s="13"/>
      <c r="AR409" s="13"/>
      <c r="AS409" s="13"/>
      <c r="AT409" s="13"/>
    </row>
    <row r="410" spans="1:46" x14ac:dyDescent="0.25">
      <c r="A410" s="13"/>
      <c r="B410" s="13"/>
      <c r="C410" s="13"/>
      <c r="D410" s="13"/>
      <c r="E410" s="13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  <c r="AQ410" s="13"/>
      <c r="AR410" s="13"/>
      <c r="AS410" s="13"/>
      <c r="AT410" s="13"/>
    </row>
    <row r="411" spans="1:46" x14ac:dyDescent="0.25">
      <c r="A411" s="13"/>
      <c r="B411" s="13"/>
      <c r="C411" s="13"/>
      <c r="D411" s="13"/>
      <c r="E411" s="13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  <c r="AQ411" s="13"/>
      <c r="AR411" s="13"/>
      <c r="AS411" s="13"/>
      <c r="AT411" s="13"/>
    </row>
    <row r="412" spans="1:46" x14ac:dyDescent="0.25">
      <c r="A412" s="13"/>
      <c r="B412" s="13"/>
      <c r="C412" s="13"/>
      <c r="D412" s="13"/>
      <c r="E412" s="13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  <c r="AQ412" s="13"/>
      <c r="AR412" s="13"/>
      <c r="AS412" s="13"/>
      <c r="AT412" s="13"/>
    </row>
    <row r="413" spans="1:46" x14ac:dyDescent="0.25">
      <c r="A413" s="13"/>
      <c r="B413" s="13"/>
      <c r="C413" s="13"/>
      <c r="D413" s="13"/>
      <c r="E413" s="13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  <c r="AQ413" s="13"/>
      <c r="AR413" s="13"/>
      <c r="AS413" s="13"/>
      <c r="AT413" s="13"/>
    </row>
    <row r="414" spans="1:46" x14ac:dyDescent="0.25">
      <c r="A414" s="13"/>
      <c r="B414" s="13"/>
      <c r="C414" s="13"/>
      <c r="D414" s="13"/>
      <c r="E414" s="13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  <c r="AQ414" s="13"/>
      <c r="AR414" s="13"/>
      <c r="AS414" s="13"/>
      <c r="AT414" s="13"/>
    </row>
    <row r="415" spans="1:46" x14ac:dyDescent="0.25">
      <c r="A415" s="13"/>
      <c r="B415" s="13"/>
      <c r="C415" s="13"/>
      <c r="D415" s="13"/>
      <c r="E415" s="13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  <c r="AQ415" s="13"/>
      <c r="AR415" s="13"/>
      <c r="AS415" s="13"/>
      <c r="AT415" s="13"/>
    </row>
    <row r="416" spans="1:46" x14ac:dyDescent="0.25">
      <c r="A416" s="13"/>
      <c r="B416" s="13"/>
      <c r="C416" s="13"/>
      <c r="D416" s="13"/>
      <c r="E416" s="13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  <c r="AQ416" s="13"/>
      <c r="AR416" s="13"/>
      <c r="AS416" s="13"/>
      <c r="AT416" s="13"/>
    </row>
    <row r="417" spans="1:46" x14ac:dyDescent="0.25">
      <c r="A417" s="13"/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</row>
    <row r="418" spans="1:46" x14ac:dyDescent="0.25">
      <c r="A418" s="13"/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  <c r="AQ418" s="13"/>
      <c r="AR418" s="13"/>
      <c r="AS418" s="13"/>
      <c r="AT418" s="13"/>
    </row>
    <row r="419" spans="1:46" x14ac:dyDescent="0.25">
      <c r="A419" s="13"/>
      <c r="B419" s="13"/>
      <c r="C419" s="13"/>
      <c r="D419" s="13"/>
      <c r="E419" s="13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  <c r="AQ419" s="13"/>
      <c r="AR419" s="13"/>
      <c r="AS419" s="13"/>
      <c r="AT419" s="13"/>
    </row>
    <row r="420" spans="1:46" x14ac:dyDescent="0.25">
      <c r="A420" s="13"/>
      <c r="B420" s="13"/>
      <c r="C420" s="13"/>
      <c r="D420" s="13"/>
      <c r="E420" s="13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  <c r="AQ420" s="13"/>
      <c r="AR420" s="13"/>
      <c r="AS420" s="13"/>
      <c r="AT420" s="13"/>
    </row>
    <row r="421" spans="1:46" x14ac:dyDescent="0.25">
      <c r="A421" s="13"/>
      <c r="B421" s="13"/>
      <c r="C421" s="13"/>
      <c r="D421" s="13"/>
      <c r="E421" s="13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  <c r="AQ421" s="13"/>
      <c r="AR421" s="13"/>
      <c r="AS421" s="13"/>
      <c r="AT421" s="13"/>
    </row>
    <row r="422" spans="1:46" x14ac:dyDescent="0.25">
      <c r="A422" s="13"/>
      <c r="B422" s="13"/>
      <c r="C422" s="13"/>
      <c r="D422" s="13"/>
      <c r="E422" s="13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  <c r="AQ422" s="13"/>
      <c r="AR422" s="13"/>
      <c r="AS422" s="13"/>
      <c r="AT422" s="13"/>
    </row>
    <row r="423" spans="1:46" x14ac:dyDescent="0.25">
      <c r="A423" s="13"/>
      <c r="B423" s="13"/>
      <c r="C423" s="13"/>
      <c r="D423" s="13"/>
      <c r="E423" s="13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  <c r="AQ423" s="13"/>
      <c r="AR423" s="13"/>
      <c r="AS423" s="13"/>
      <c r="AT423" s="13"/>
    </row>
    <row r="424" spans="1:46" x14ac:dyDescent="0.25">
      <c r="A424" s="13"/>
      <c r="B424" s="13"/>
      <c r="C424" s="13"/>
      <c r="D424" s="13"/>
      <c r="E424" s="13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  <c r="AQ424" s="13"/>
      <c r="AR424" s="13"/>
      <c r="AS424" s="13"/>
      <c r="AT424" s="13"/>
    </row>
    <row r="425" spans="1:46" x14ac:dyDescent="0.25">
      <c r="A425" s="13"/>
      <c r="B425" s="13"/>
      <c r="C425" s="13"/>
      <c r="D425" s="13"/>
      <c r="E425" s="13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  <c r="AQ425" s="13"/>
      <c r="AR425" s="13"/>
      <c r="AS425" s="13"/>
      <c r="AT425" s="13"/>
    </row>
    <row r="426" spans="1:46" x14ac:dyDescent="0.25">
      <c r="A426" s="13"/>
      <c r="B426" s="13"/>
      <c r="C426" s="13"/>
      <c r="D426" s="13"/>
      <c r="E426" s="13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  <c r="AQ426" s="13"/>
      <c r="AR426" s="13"/>
      <c r="AS426" s="13"/>
      <c r="AT426" s="13"/>
    </row>
    <row r="427" spans="1:46" x14ac:dyDescent="0.25">
      <c r="A427" s="13"/>
      <c r="B427" s="13"/>
      <c r="C427" s="13"/>
      <c r="D427" s="13"/>
      <c r="E427" s="13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  <c r="AQ427" s="13"/>
      <c r="AR427" s="13"/>
      <c r="AS427" s="13"/>
      <c r="AT427" s="13"/>
    </row>
    <row r="428" spans="1:46" x14ac:dyDescent="0.25">
      <c r="A428" s="13"/>
      <c r="B428" s="13"/>
      <c r="C428" s="13"/>
      <c r="D428" s="13"/>
      <c r="E428" s="13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  <c r="AQ428" s="13"/>
      <c r="AR428" s="13"/>
      <c r="AS428" s="13"/>
      <c r="AT428" s="13"/>
    </row>
    <row r="429" spans="1:46" x14ac:dyDescent="0.25">
      <c r="A429" s="13"/>
      <c r="B429" s="13"/>
      <c r="C429" s="13"/>
      <c r="D429" s="13"/>
      <c r="E429" s="13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  <c r="AQ429" s="13"/>
      <c r="AR429" s="13"/>
      <c r="AS429" s="13"/>
      <c r="AT429" s="13"/>
    </row>
    <row r="430" spans="1:46" x14ac:dyDescent="0.25">
      <c r="A430" s="13"/>
      <c r="B430" s="13"/>
      <c r="C430" s="13"/>
      <c r="D430" s="13"/>
      <c r="E430" s="13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  <c r="AQ430" s="13"/>
      <c r="AR430" s="13"/>
      <c r="AS430" s="13"/>
      <c r="AT430" s="13"/>
    </row>
    <row r="431" spans="1:46" x14ac:dyDescent="0.25">
      <c r="A431" s="13"/>
      <c r="B431" s="13"/>
      <c r="C431" s="13"/>
      <c r="D431" s="13"/>
      <c r="E431" s="13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  <c r="AQ431" s="13"/>
      <c r="AR431" s="13"/>
      <c r="AS431" s="13"/>
      <c r="AT431" s="13"/>
    </row>
    <row r="432" spans="1:46" x14ac:dyDescent="0.25">
      <c r="A432" s="13"/>
      <c r="B432" s="13"/>
      <c r="C432" s="13"/>
      <c r="D432" s="13"/>
      <c r="E432" s="13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  <c r="AQ432" s="13"/>
      <c r="AR432" s="13"/>
      <c r="AS432" s="13"/>
      <c r="AT432" s="13"/>
    </row>
    <row r="433" spans="1:46" x14ac:dyDescent="0.25">
      <c r="A433" s="13"/>
      <c r="B433" s="13"/>
      <c r="C433" s="13"/>
      <c r="D433" s="13"/>
      <c r="E433" s="13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  <c r="AQ433" s="13"/>
      <c r="AR433" s="13"/>
      <c r="AS433" s="13"/>
      <c r="AT433" s="13"/>
    </row>
    <row r="434" spans="1:46" x14ac:dyDescent="0.25">
      <c r="A434" s="13"/>
      <c r="B434" s="13"/>
      <c r="C434" s="13"/>
      <c r="D434" s="13"/>
      <c r="E434" s="13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  <c r="AQ434" s="13"/>
      <c r="AR434" s="13"/>
      <c r="AS434" s="13"/>
      <c r="AT434" s="13"/>
    </row>
    <row r="435" spans="1:46" x14ac:dyDescent="0.25">
      <c r="A435" s="13"/>
      <c r="B435" s="13"/>
      <c r="C435" s="13"/>
      <c r="D435" s="13"/>
      <c r="E435" s="13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  <c r="AQ435" s="13"/>
      <c r="AR435" s="13"/>
      <c r="AS435" s="13"/>
      <c r="AT435" s="13"/>
    </row>
    <row r="436" spans="1:46" x14ac:dyDescent="0.25">
      <c r="A436" s="13"/>
      <c r="B436" s="13"/>
      <c r="C436" s="13"/>
      <c r="D436" s="13"/>
      <c r="E436" s="13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  <c r="AQ436" s="13"/>
      <c r="AR436" s="13"/>
      <c r="AS436" s="13"/>
      <c r="AT436" s="13"/>
    </row>
    <row r="437" spans="1:46" x14ac:dyDescent="0.25">
      <c r="A437" s="13"/>
      <c r="B437" s="13"/>
      <c r="C437" s="13"/>
      <c r="D437" s="13"/>
      <c r="E437" s="13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  <c r="AQ437" s="13"/>
      <c r="AR437" s="13"/>
      <c r="AS437" s="13"/>
      <c r="AT437" s="13"/>
    </row>
    <row r="438" spans="1:46" x14ac:dyDescent="0.25">
      <c r="A438" s="13"/>
      <c r="B438" s="13"/>
      <c r="C438" s="13"/>
      <c r="D438" s="13"/>
      <c r="E438" s="13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  <c r="AQ438" s="13"/>
      <c r="AR438" s="13"/>
      <c r="AS438" s="13"/>
      <c r="AT438" s="13"/>
    </row>
    <row r="439" spans="1:46" x14ac:dyDescent="0.25">
      <c r="A439" s="13"/>
      <c r="B439" s="13"/>
      <c r="C439" s="13"/>
      <c r="D439" s="13"/>
      <c r="E439" s="13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  <c r="AQ439" s="13"/>
      <c r="AR439" s="13"/>
      <c r="AS439" s="13"/>
      <c r="AT439" s="13"/>
    </row>
    <row r="440" spans="1:46" x14ac:dyDescent="0.25">
      <c r="A440" s="13"/>
      <c r="B440" s="13"/>
      <c r="C440" s="13"/>
      <c r="D440" s="13"/>
      <c r="E440" s="13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  <c r="AQ440" s="13"/>
      <c r="AR440" s="13"/>
      <c r="AS440" s="13"/>
      <c r="AT440" s="13"/>
    </row>
    <row r="441" spans="1:46" x14ac:dyDescent="0.25">
      <c r="A441" s="13"/>
      <c r="B441" s="13"/>
      <c r="C441" s="13"/>
      <c r="D441" s="13"/>
      <c r="E441" s="13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  <c r="AQ441" s="13"/>
      <c r="AR441" s="13"/>
      <c r="AS441" s="13"/>
      <c r="AT441" s="13"/>
    </row>
    <row r="442" spans="1:46" x14ac:dyDescent="0.25">
      <c r="A442" s="13"/>
      <c r="B442" s="13"/>
      <c r="C442" s="13"/>
      <c r="D442" s="13"/>
      <c r="E442" s="13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  <c r="AQ442" s="13"/>
      <c r="AR442" s="13"/>
      <c r="AS442" s="13"/>
      <c r="AT442" s="13"/>
    </row>
    <row r="443" spans="1:46" x14ac:dyDescent="0.25">
      <c r="A443" s="13"/>
      <c r="B443" s="13"/>
      <c r="C443" s="13"/>
      <c r="D443" s="13"/>
      <c r="E443" s="13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  <c r="AQ443" s="13"/>
      <c r="AR443" s="13"/>
      <c r="AS443" s="13"/>
      <c r="AT443" s="13"/>
    </row>
    <row r="444" spans="1:46" x14ac:dyDescent="0.25">
      <c r="A444" s="13"/>
      <c r="B444" s="13"/>
      <c r="C444" s="13"/>
      <c r="D444" s="13"/>
      <c r="E444" s="13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  <c r="AQ444" s="13"/>
      <c r="AR444" s="13"/>
      <c r="AS444" s="13"/>
      <c r="AT444" s="13"/>
    </row>
    <row r="445" spans="1:46" x14ac:dyDescent="0.25">
      <c r="A445" s="13"/>
      <c r="B445" s="13"/>
      <c r="C445" s="13"/>
      <c r="D445" s="13"/>
      <c r="E445" s="13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  <c r="AQ445" s="13"/>
      <c r="AR445" s="13"/>
      <c r="AS445" s="13"/>
      <c r="AT445" s="13"/>
    </row>
    <row r="446" spans="1:46" x14ac:dyDescent="0.25">
      <c r="A446" s="13"/>
      <c r="B446" s="13"/>
      <c r="C446" s="13"/>
      <c r="D446" s="13"/>
      <c r="E446" s="13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  <c r="AQ446" s="13"/>
      <c r="AR446" s="13"/>
      <c r="AS446" s="13"/>
      <c r="AT446" s="13"/>
    </row>
    <row r="447" spans="1:46" x14ac:dyDescent="0.25">
      <c r="A447" s="13"/>
      <c r="B447" s="13"/>
      <c r="C447" s="13"/>
      <c r="D447" s="13"/>
      <c r="E447" s="13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  <c r="AQ447" s="13"/>
      <c r="AR447" s="13"/>
      <c r="AS447" s="13"/>
      <c r="AT447" s="13"/>
    </row>
    <row r="448" spans="1:46" x14ac:dyDescent="0.25">
      <c r="A448" s="13"/>
      <c r="B448" s="13"/>
      <c r="C448" s="13"/>
      <c r="D448" s="13"/>
      <c r="E448" s="13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  <c r="AQ448" s="13"/>
      <c r="AR448" s="13"/>
      <c r="AS448" s="13"/>
      <c r="AT448" s="13"/>
    </row>
    <row r="449" spans="1:46" x14ac:dyDescent="0.25">
      <c r="A449" s="13"/>
      <c r="B449" s="13"/>
      <c r="C449" s="13"/>
      <c r="D449" s="13"/>
      <c r="E449" s="13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  <c r="AQ449" s="13"/>
      <c r="AR449" s="13"/>
      <c r="AS449" s="13"/>
      <c r="AT449" s="13"/>
    </row>
    <row r="450" spans="1:46" x14ac:dyDescent="0.25">
      <c r="A450" s="13"/>
      <c r="B450" s="13"/>
      <c r="C450" s="13"/>
      <c r="D450" s="13"/>
      <c r="E450" s="13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  <c r="AQ450" s="13"/>
      <c r="AR450" s="13"/>
      <c r="AS450" s="13"/>
      <c r="AT450" s="13"/>
    </row>
    <row r="451" spans="1:46" x14ac:dyDescent="0.25">
      <c r="A451" s="13"/>
      <c r="B451" s="13"/>
      <c r="C451" s="13"/>
      <c r="D451" s="13"/>
      <c r="E451" s="13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  <c r="AQ451" s="13"/>
      <c r="AR451" s="13"/>
      <c r="AS451" s="13"/>
      <c r="AT451" s="13"/>
    </row>
    <row r="452" spans="1:46" x14ac:dyDescent="0.25">
      <c r="A452" s="13"/>
      <c r="B452" s="13"/>
      <c r="C452" s="13"/>
      <c r="D452" s="13"/>
      <c r="E452" s="13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  <c r="AQ452" s="13"/>
      <c r="AR452" s="13"/>
      <c r="AS452" s="13"/>
      <c r="AT452" s="13"/>
    </row>
    <row r="453" spans="1:46" x14ac:dyDescent="0.25">
      <c r="A453" s="13"/>
      <c r="B453" s="13"/>
      <c r="C453" s="13"/>
      <c r="D453" s="13"/>
      <c r="E453" s="13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  <c r="AQ453" s="13"/>
      <c r="AR453" s="13"/>
      <c r="AS453" s="13"/>
      <c r="AT453" s="13"/>
    </row>
    <row r="454" spans="1:46" x14ac:dyDescent="0.25">
      <c r="A454" s="13"/>
      <c r="B454" s="13"/>
      <c r="C454" s="13"/>
      <c r="D454" s="13"/>
      <c r="E454" s="13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  <c r="AQ454" s="13"/>
      <c r="AR454" s="13"/>
      <c r="AS454" s="13"/>
      <c r="AT454" s="13"/>
    </row>
    <row r="455" spans="1:46" x14ac:dyDescent="0.25">
      <c r="A455" s="13"/>
      <c r="B455" s="13"/>
      <c r="C455" s="13"/>
      <c r="D455" s="13"/>
      <c r="E455" s="13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  <c r="AQ455" s="13"/>
      <c r="AR455" s="13"/>
      <c r="AS455" s="13"/>
      <c r="AT455" s="13"/>
    </row>
    <row r="456" spans="1:46" x14ac:dyDescent="0.25">
      <c r="A456" s="13"/>
      <c r="B456" s="13"/>
      <c r="C456" s="13"/>
      <c r="D456" s="13"/>
      <c r="E456" s="13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  <c r="AQ456" s="13"/>
      <c r="AR456" s="13"/>
      <c r="AS456" s="13"/>
      <c r="AT456" s="13"/>
    </row>
    <row r="457" spans="1:46" x14ac:dyDescent="0.25">
      <c r="A457" s="13"/>
      <c r="B457" s="13"/>
      <c r="C457" s="13"/>
      <c r="D457" s="13"/>
      <c r="E457" s="13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  <c r="AQ457" s="13"/>
      <c r="AR457" s="13"/>
      <c r="AS457" s="13"/>
      <c r="AT457" s="13"/>
    </row>
    <row r="458" spans="1:46" x14ac:dyDescent="0.25">
      <c r="A458" s="13"/>
      <c r="B458" s="13"/>
      <c r="C458" s="13"/>
      <c r="D458" s="13"/>
      <c r="E458" s="13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  <c r="AQ458" s="13"/>
      <c r="AR458" s="13"/>
      <c r="AS458" s="13"/>
      <c r="AT458" s="13"/>
    </row>
    <row r="459" spans="1:46" x14ac:dyDescent="0.25">
      <c r="A459" s="13"/>
      <c r="B459" s="13"/>
      <c r="C459" s="13"/>
      <c r="D459" s="13"/>
      <c r="E459" s="13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  <c r="AQ459" s="13"/>
      <c r="AR459" s="13"/>
      <c r="AS459" s="13"/>
      <c r="AT459" s="13"/>
    </row>
    <row r="460" spans="1:46" x14ac:dyDescent="0.25">
      <c r="A460" s="13"/>
      <c r="B460" s="13"/>
      <c r="C460" s="13"/>
      <c r="D460" s="13"/>
      <c r="E460" s="13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  <c r="AQ460" s="13"/>
      <c r="AR460" s="13"/>
      <c r="AS460" s="13"/>
      <c r="AT460" s="13"/>
    </row>
    <row r="461" spans="1:46" x14ac:dyDescent="0.25">
      <c r="A461" s="13"/>
      <c r="B461" s="13"/>
      <c r="C461" s="13"/>
      <c r="D461" s="13"/>
      <c r="E461" s="13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  <c r="AQ461" s="13"/>
      <c r="AR461" s="13"/>
      <c r="AS461" s="13"/>
      <c r="AT461" s="13"/>
    </row>
    <row r="462" spans="1:46" x14ac:dyDescent="0.25">
      <c r="A462" s="13"/>
      <c r="B462" s="13"/>
      <c r="C462" s="13"/>
      <c r="D462" s="13"/>
      <c r="E462" s="13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  <c r="AQ462" s="13"/>
      <c r="AR462" s="13"/>
      <c r="AS462" s="13"/>
      <c r="AT462" s="13"/>
    </row>
    <row r="463" spans="1:46" x14ac:dyDescent="0.25">
      <c r="A463" s="13"/>
      <c r="B463" s="13"/>
      <c r="C463" s="13"/>
      <c r="D463" s="13"/>
      <c r="E463" s="13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  <c r="AQ463" s="13"/>
      <c r="AR463" s="13"/>
      <c r="AS463" s="13"/>
      <c r="AT463" s="13"/>
    </row>
    <row r="464" spans="1:46" x14ac:dyDescent="0.25">
      <c r="A464" s="13"/>
      <c r="B464" s="13"/>
      <c r="C464" s="13"/>
      <c r="D464" s="13"/>
      <c r="E464" s="13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  <c r="AQ464" s="13"/>
      <c r="AR464" s="13"/>
      <c r="AS464" s="13"/>
      <c r="AT464" s="13"/>
    </row>
    <row r="465" spans="1:46" x14ac:dyDescent="0.25">
      <c r="A465" s="13"/>
      <c r="B465" s="13"/>
      <c r="C465" s="13"/>
      <c r="D465" s="13"/>
      <c r="E465" s="13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  <c r="AQ465" s="13"/>
      <c r="AR465" s="13"/>
      <c r="AS465" s="13"/>
      <c r="AT465" s="13"/>
    </row>
    <row r="466" spans="1:46" x14ac:dyDescent="0.25">
      <c r="A466" s="13"/>
      <c r="B466" s="13"/>
      <c r="C466" s="13"/>
      <c r="D466" s="13"/>
      <c r="E466" s="13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  <c r="AQ466" s="13"/>
      <c r="AR466" s="13"/>
      <c r="AS466" s="13"/>
      <c r="AT466" s="13"/>
    </row>
    <row r="467" spans="1:46" x14ac:dyDescent="0.25">
      <c r="A467" s="13"/>
      <c r="B467" s="13"/>
      <c r="C467" s="13"/>
      <c r="D467" s="13"/>
      <c r="E467" s="13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  <c r="AQ467" s="13"/>
      <c r="AR467" s="13"/>
      <c r="AS467" s="13"/>
      <c r="AT467" s="13"/>
    </row>
    <row r="468" spans="1:46" x14ac:dyDescent="0.25">
      <c r="A468" s="13"/>
      <c r="B468" s="13"/>
      <c r="C468" s="13"/>
      <c r="D468" s="13"/>
      <c r="E468" s="13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  <c r="AQ468" s="13"/>
      <c r="AR468" s="13"/>
      <c r="AS468" s="13"/>
      <c r="AT468" s="13"/>
    </row>
    <row r="469" spans="1:46" x14ac:dyDescent="0.25">
      <c r="A469" s="13"/>
      <c r="B469" s="13"/>
      <c r="C469" s="13"/>
      <c r="D469" s="13"/>
      <c r="E469" s="13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  <c r="AQ469" s="13"/>
      <c r="AR469" s="13"/>
      <c r="AS469" s="13"/>
      <c r="AT469" s="13"/>
    </row>
    <row r="470" spans="1:46" x14ac:dyDescent="0.25">
      <c r="A470" s="13"/>
      <c r="B470" s="13"/>
      <c r="C470" s="13"/>
      <c r="D470" s="13"/>
      <c r="E470" s="13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  <c r="AQ470" s="13"/>
      <c r="AR470" s="13"/>
      <c r="AS470" s="13"/>
      <c r="AT470" s="13"/>
    </row>
    <row r="471" spans="1:46" x14ac:dyDescent="0.25">
      <c r="A471" s="13"/>
      <c r="B471" s="13"/>
      <c r="C471" s="13"/>
      <c r="D471" s="13"/>
      <c r="E471" s="13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  <c r="AQ471" s="13"/>
      <c r="AR471" s="13"/>
      <c r="AS471" s="13"/>
      <c r="AT471" s="13"/>
    </row>
    <row r="472" spans="1:46" x14ac:dyDescent="0.25">
      <c r="A472" s="13"/>
      <c r="B472" s="13"/>
      <c r="C472" s="13"/>
      <c r="D472" s="13"/>
      <c r="E472" s="13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  <c r="AQ472" s="13"/>
      <c r="AR472" s="13"/>
      <c r="AS472" s="13"/>
      <c r="AT472" s="13"/>
    </row>
    <row r="473" spans="1:46" x14ac:dyDescent="0.25">
      <c r="A473" s="13"/>
      <c r="B473" s="13"/>
      <c r="C473" s="13"/>
      <c r="D473" s="13"/>
      <c r="E473" s="13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  <c r="AQ473" s="13"/>
      <c r="AR473" s="13"/>
      <c r="AS473" s="13"/>
      <c r="AT473" s="13"/>
    </row>
    <row r="474" spans="1:46" x14ac:dyDescent="0.25">
      <c r="A474" s="13"/>
      <c r="B474" s="13"/>
      <c r="C474" s="13"/>
      <c r="D474" s="13"/>
      <c r="E474" s="13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  <c r="AQ474" s="13"/>
      <c r="AR474" s="13"/>
      <c r="AS474" s="13"/>
      <c r="AT474" s="13"/>
    </row>
    <row r="475" spans="1:46" x14ac:dyDescent="0.25">
      <c r="A475" s="13"/>
      <c r="B475" s="13"/>
      <c r="C475" s="13"/>
      <c r="D475" s="13"/>
      <c r="E475" s="13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  <c r="AQ475" s="13"/>
      <c r="AR475" s="13"/>
      <c r="AS475" s="13"/>
      <c r="AT475" s="13"/>
    </row>
    <row r="476" spans="1:46" x14ac:dyDescent="0.25">
      <c r="A476" s="13"/>
      <c r="B476" s="13"/>
      <c r="C476" s="13"/>
      <c r="D476" s="13"/>
      <c r="E476" s="13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  <c r="AQ476" s="13"/>
      <c r="AR476" s="13"/>
      <c r="AS476" s="13"/>
      <c r="AT476" s="13"/>
    </row>
    <row r="477" spans="1:46" x14ac:dyDescent="0.25">
      <c r="A477" s="13"/>
      <c r="B477" s="13"/>
      <c r="C477" s="13"/>
      <c r="D477" s="13"/>
      <c r="E477" s="13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  <c r="AQ477" s="13"/>
      <c r="AR477" s="13"/>
      <c r="AS477" s="13"/>
      <c r="AT477" s="13"/>
    </row>
    <row r="478" spans="1:46" x14ac:dyDescent="0.25">
      <c r="A478" s="13"/>
      <c r="B478" s="13"/>
      <c r="C478" s="13"/>
      <c r="D478" s="13"/>
      <c r="E478" s="13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  <c r="AQ478" s="13"/>
      <c r="AR478" s="13"/>
      <c r="AS478" s="13"/>
      <c r="AT478" s="13"/>
    </row>
    <row r="479" spans="1:46" x14ac:dyDescent="0.25">
      <c r="A479" s="13"/>
      <c r="B479" s="13"/>
      <c r="C479" s="13"/>
      <c r="D479" s="13"/>
      <c r="E479" s="13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  <c r="AQ479" s="13"/>
      <c r="AR479" s="13"/>
      <c r="AS479" s="13"/>
      <c r="AT479" s="13"/>
    </row>
    <row r="480" spans="1:46" x14ac:dyDescent="0.25">
      <c r="A480" s="13"/>
      <c r="B480" s="13"/>
      <c r="C480" s="13"/>
      <c r="D480" s="13"/>
      <c r="E480" s="13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  <c r="AQ480" s="13"/>
      <c r="AR480" s="13"/>
      <c r="AS480" s="13"/>
      <c r="AT480" s="13"/>
    </row>
    <row r="481" spans="1:46" x14ac:dyDescent="0.25">
      <c r="A481" s="13"/>
      <c r="B481" s="13"/>
      <c r="C481" s="13"/>
      <c r="D481" s="13"/>
      <c r="E481" s="13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  <c r="AJ481" s="13"/>
      <c r="AK481" s="13"/>
      <c r="AL481" s="13"/>
      <c r="AM481" s="13"/>
      <c r="AN481" s="13"/>
      <c r="AO481" s="13"/>
      <c r="AP481" s="13"/>
      <c r="AQ481" s="13"/>
      <c r="AR481" s="13"/>
      <c r="AS481" s="13"/>
      <c r="AT481" s="13"/>
    </row>
    <row r="482" spans="1:46" x14ac:dyDescent="0.25">
      <c r="A482" s="13"/>
      <c r="B482" s="13"/>
      <c r="C482" s="13"/>
      <c r="D482" s="13"/>
      <c r="E482" s="13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  <c r="AJ482" s="13"/>
      <c r="AK482" s="13"/>
      <c r="AL482" s="13"/>
      <c r="AM482" s="13"/>
      <c r="AN482" s="13"/>
      <c r="AO482" s="13"/>
      <c r="AP482" s="13"/>
      <c r="AQ482" s="13"/>
      <c r="AR482" s="13"/>
      <c r="AS482" s="13"/>
      <c r="AT482" s="13"/>
    </row>
    <row r="483" spans="1:46" x14ac:dyDescent="0.25">
      <c r="A483" s="13"/>
      <c r="B483" s="13"/>
      <c r="C483" s="13"/>
      <c r="D483" s="13"/>
      <c r="E483" s="13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  <c r="AJ483" s="13"/>
      <c r="AK483" s="13"/>
      <c r="AL483" s="13"/>
      <c r="AM483" s="13"/>
      <c r="AN483" s="13"/>
      <c r="AO483" s="13"/>
      <c r="AP483" s="13"/>
      <c r="AQ483" s="13"/>
      <c r="AR483" s="13"/>
      <c r="AS483" s="13"/>
      <c r="AT483" s="13"/>
    </row>
    <row r="484" spans="1:46" x14ac:dyDescent="0.25">
      <c r="A484" s="13"/>
      <c r="B484" s="13"/>
      <c r="C484" s="13"/>
      <c r="D484" s="13"/>
      <c r="E484" s="13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  <c r="AJ484" s="13"/>
      <c r="AK484" s="13"/>
      <c r="AL484" s="13"/>
      <c r="AM484" s="13"/>
      <c r="AN484" s="13"/>
      <c r="AO484" s="13"/>
      <c r="AP484" s="13"/>
      <c r="AQ484" s="13"/>
      <c r="AR484" s="13"/>
      <c r="AS484" s="13"/>
      <c r="AT484" s="13"/>
    </row>
    <row r="485" spans="1:46" x14ac:dyDescent="0.25">
      <c r="A485" s="13"/>
      <c r="B485" s="13"/>
      <c r="C485" s="13"/>
      <c r="D485" s="13"/>
      <c r="E485" s="13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  <c r="AJ485" s="13"/>
      <c r="AK485" s="13"/>
      <c r="AL485" s="13"/>
      <c r="AM485" s="13"/>
      <c r="AN485" s="13"/>
      <c r="AO485" s="13"/>
      <c r="AP485" s="13"/>
      <c r="AQ485" s="13"/>
      <c r="AR485" s="13"/>
      <c r="AS485" s="13"/>
      <c r="AT485" s="13"/>
    </row>
    <row r="486" spans="1:46" x14ac:dyDescent="0.25">
      <c r="A486" s="13"/>
      <c r="B486" s="13"/>
      <c r="C486" s="13"/>
      <c r="D486" s="13"/>
      <c r="E486" s="13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  <c r="AJ486" s="13"/>
      <c r="AK486" s="13"/>
      <c r="AL486" s="13"/>
      <c r="AM486" s="13"/>
      <c r="AN486" s="13"/>
      <c r="AO486" s="13"/>
      <c r="AP486" s="13"/>
      <c r="AQ486" s="13"/>
      <c r="AR486" s="13"/>
      <c r="AS486" s="13"/>
      <c r="AT486" s="13"/>
    </row>
    <row r="487" spans="1:46" x14ac:dyDescent="0.25">
      <c r="A487" s="13"/>
      <c r="B487" s="13"/>
      <c r="C487" s="13"/>
      <c r="D487" s="13"/>
      <c r="E487" s="13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  <c r="AJ487" s="13"/>
      <c r="AK487" s="13"/>
      <c r="AL487" s="13"/>
      <c r="AM487" s="13"/>
      <c r="AN487" s="13"/>
      <c r="AO487" s="13"/>
      <c r="AP487" s="13"/>
      <c r="AQ487" s="13"/>
      <c r="AR487" s="13"/>
      <c r="AS487" s="13"/>
      <c r="AT487" s="13"/>
    </row>
    <row r="488" spans="1:46" x14ac:dyDescent="0.25">
      <c r="A488" s="13"/>
      <c r="B488" s="13"/>
      <c r="C488" s="13"/>
      <c r="D488" s="13"/>
      <c r="E488" s="13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  <c r="AJ488" s="13"/>
      <c r="AK488" s="13"/>
      <c r="AL488" s="13"/>
      <c r="AM488" s="13"/>
      <c r="AN488" s="13"/>
      <c r="AO488" s="13"/>
      <c r="AP488" s="13"/>
      <c r="AQ488" s="13"/>
      <c r="AR488" s="13"/>
      <c r="AS488" s="13"/>
      <c r="AT488" s="13"/>
    </row>
    <row r="489" spans="1:46" x14ac:dyDescent="0.25">
      <c r="A489" s="13"/>
      <c r="B489" s="13"/>
      <c r="C489" s="13"/>
      <c r="D489" s="13"/>
      <c r="E489" s="13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  <c r="AJ489" s="13"/>
      <c r="AK489" s="13"/>
      <c r="AL489" s="13"/>
      <c r="AM489" s="13"/>
      <c r="AN489" s="13"/>
      <c r="AO489" s="13"/>
      <c r="AP489" s="13"/>
      <c r="AQ489" s="13"/>
      <c r="AR489" s="13"/>
      <c r="AS489" s="13"/>
      <c r="AT489" s="13"/>
    </row>
    <row r="490" spans="1:46" x14ac:dyDescent="0.25">
      <c r="A490" s="13"/>
      <c r="B490" s="13"/>
      <c r="C490" s="13"/>
      <c r="D490" s="13"/>
      <c r="E490" s="13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  <c r="AJ490" s="13"/>
      <c r="AK490" s="13"/>
      <c r="AL490" s="13"/>
      <c r="AM490" s="13"/>
      <c r="AN490" s="13"/>
      <c r="AO490" s="13"/>
      <c r="AP490" s="13"/>
      <c r="AQ490" s="13"/>
      <c r="AR490" s="13"/>
      <c r="AS490" s="13"/>
      <c r="AT490" s="13"/>
    </row>
    <row r="491" spans="1:46" x14ac:dyDescent="0.25">
      <c r="A491" s="13"/>
      <c r="B491" s="13"/>
      <c r="C491" s="13"/>
      <c r="D491" s="13"/>
      <c r="E491" s="13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  <c r="AJ491" s="13"/>
      <c r="AK491" s="13"/>
      <c r="AL491" s="13"/>
      <c r="AM491" s="13"/>
      <c r="AN491" s="13"/>
      <c r="AO491" s="13"/>
      <c r="AP491" s="13"/>
      <c r="AQ491" s="13"/>
      <c r="AR491" s="13"/>
      <c r="AS491" s="13"/>
      <c r="AT491" s="13"/>
    </row>
    <row r="492" spans="1:46" x14ac:dyDescent="0.25">
      <c r="A492" s="13"/>
      <c r="B492" s="13"/>
      <c r="C492" s="13"/>
      <c r="D492" s="13"/>
      <c r="E492" s="13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  <c r="AJ492" s="13"/>
      <c r="AK492" s="13"/>
      <c r="AL492" s="13"/>
      <c r="AM492" s="13"/>
      <c r="AN492" s="13"/>
      <c r="AO492" s="13"/>
      <c r="AP492" s="13"/>
      <c r="AQ492" s="13"/>
      <c r="AR492" s="13"/>
      <c r="AS492" s="13"/>
      <c r="AT492" s="13"/>
    </row>
    <row r="493" spans="1:46" x14ac:dyDescent="0.25">
      <c r="A493" s="13"/>
      <c r="B493" s="13"/>
      <c r="C493" s="13"/>
      <c r="D493" s="13"/>
      <c r="E493" s="13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  <c r="AJ493" s="13"/>
      <c r="AK493" s="13"/>
      <c r="AL493" s="13"/>
      <c r="AM493" s="13"/>
      <c r="AN493" s="13"/>
      <c r="AO493" s="13"/>
      <c r="AP493" s="13"/>
      <c r="AQ493" s="13"/>
      <c r="AR493" s="13"/>
      <c r="AS493" s="13"/>
      <c r="AT493" s="13"/>
    </row>
    <row r="494" spans="1:46" x14ac:dyDescent="0.25">
      <c r="A494" s="13"/>
      <c r="B494" s="13"/>
      <c r="C494" s="13"/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  <c r="AJ494" s="13"/>
      <c r="AK494" s="13"/>
      <c r="AL494" s="13"/>
      <c r="AM494" s="13"/>
      <c r="AN494" s="13"/>
      <c r="AO494" s="13"/>
      <c r="AP494" s="13"/>
      <c r="AQ494" s="13"/>
      <c r="AR494" s="13"/>
      <c r="AS494" s="13"/>
      <c r="AT494" s="13"/>
    </row>
    <row r="495" spans="1:46" x14ac:dyDescent="0.25">
      <c r="A495" s="13"/>
      <c r="B495" s="13"/>
      <c r="C495" s="13"/>
      <c r="D495" s="13"/>
      <c r="E495" s="13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  <c r="AJ495" s="13"/>
      <c r="AK495" s="13"/>
      <c r="AL495" s="13"/>
      <c r="AM495" s="13"/>
      <c r="AN495" s="13"/>
      <c r="AO495" s="13"/>
      <c r="AP495" s="13"/>
      <c r="AQ495" s="13"/>
      <c r="AR495" s="13"/>
      <c r="AS495" s="13"/>
      <c r="AT495" s="13"/>
    </row>
    <row r="496" spans="1:46" x14ac:dyDescent="0.25">
      <c r="A496" s="13"/>
      <c r="B496" s="13"/>
      <c r="C496" s="13"/>
      <c r="D496" s="13"/>
      <c r="E496" s="13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  <c r="AJ496" s="13"/>
      <c r="AK496" s="13"/>
      <c r="AL496" s="13"/>
      <c r="AM496" s="13"/>
      <c r="AN496" s="13"/>
      <c r="AO496" s="13"/>
      <c r="AP496" s="13"/>
      <c r="AQ496" s="13"/>
      <c r="AR496" s="13"/>
      <c r="AS496" s="13"/>
      <c r="AT496" s="13"/>
    </row>
    <row r="497" spans="1:46" x14ac:dyDescent="0.25">
      <c r="A497" s="13"/>
      <c r="B497" s="13"/>
      <c r="C497" s="13"/>
      <c r="D497" s="13"/>
      <c r="E497" s="13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  <c r="AJ497" s="13"/>
      <c r="AK497" s="13"/>
      <c r="AL497" s="13"/>
      <c r="AM497" s="13"/>
      <c r="AN497" s="13"/>
      <c r="AO497" s="13"/>
      <c r="AP497" s="13"/>
      <c r="AQ497" s="13"/>
      <c r="AR497" s="13"/>
      <c r="AS497" s="13"/>
      <c r="AT497" s="13"/>
    </row>
    <row r="498" spans="1:46" x14ac:dyDescent="0.25">
      <c r="A498" s="13"/>
      <c r="B498" s="13"/>
      <c r="C498" s="13"/>
      <c r="D498" s="13"/>
      <c r="E498" s="13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  <c r="AJ498" s="13"/>
      <c r="AK498" s="13"/>
      <c r="AL498" s="13"/>
      <c r="AM498" s="13"/>
      <c r="AN498" s="13"/>
      <c r="AO498" s="13"/>
      <c r="AP498" s="13"/>
      <c r="AQ498" s="13"/>
      <c r="AR498" s="13"/>
      <c r="AS498" s="13"/>
      <c r="AT498" s="13"/>
    </row>
    <row r="499" spans="1:46" x14ac:dyDescent="0.25">
      <c r="A499" s="13"/>
      <c r="B499" s="13"/>
      <c r="C499" s="13"/>
      <c r="D499" s="13"/>
      <c r="E499" s="13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  <c r="AJ499" s="13"/>
      <c r="AK499" s="13"/>
      <c r="AL499" s="13"/>
      <c r="AM499" s="13"/>
      <c r="AN499" s="13"/>
      <c r="AO499" s="13"/>
      <c r="AP499" s="13"/>
      <c r="AQ499" s="13"/>
      <c r="AR499" s="13"/>
      <c r="AS499" s="13"/>
      <c r="AT499" s="13"/>
    </row>
    <row r="500" spans="1:46" x14ac:dyDescent="0.25">
      <c r="A500" s="13"/>
      <c r="B500" s="13"/>
      <c r="C500" s="13"/>
      <c r="D500" s="13"/>
      <c r="E500" s="13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  <c r="AJ500" s="13"/>
      <c r="AK500" s="13"/>
      <c r="AL500" s="13"/>
      <c r="AM500" s="13"/>
      <c r="AN500" s="13"/>
      <c r="AO500" s="13"/>
      <c r="AP500" s="13"/>
      <c r="AQ500" s="13"/>
      <c r="AR500" s="13"/>
      <c r="AS500" s="13"/>
      <c r="AT500" s="13"/>
    </row>
    <row r="501" spans="1:46" x14ac:dyDescent="0.25">
      <c r="A501" s="13"/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</row>
    <row r="502" spans="1:46" x14ac:dyDescent="0.25">
      <c r="A502" s="13"/>
      <c r="B502" s="13"/>
      <c r="C502" s="13"/>
      <c r="D502" s="13"/>
      <c r="E502" s="13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  <c r="AJ502" s="13"/>
      <c r="AK502" s="13"/>
      <c r="AL502" s="13"/>
      <c r="AM502" s="13"/>
      <c r="AN502" s="13"/>
      <c r="AO502" s="13"/>
      <c r="AP502" s="13"/>
      <c r="AQ502" s="13"/>
      <c r="AR502" s="13"/>
      <c r="AS502" s="13"/>
      <c r="AT502" s="13"/>
    </row>
    <row r="503" spans="1:46" x14ac:dyDescent="0.25">
      <c r="A503" s="13"/>
      <c r="B503" s="13"/>
      <c r="C503" s="13"/>
      <c r="D503" s="13"/>
      <c r="E503" s="13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  <c r="AJ503" s="13"/>
      <c r="AK503" s="13"/>
      <c r="AL503" s="13"/>
      <c r="AM503" s="13"/>
      <c r="AN503" s="13"/>
      <c r="AO503" s="13"/>
      <c r="AP503" s="13"/>
      <c r="AQ503" s="13"/>
      <c r="AR503" s="13"/>
      <c r="AS503" s="13"/>
      <c r="AT503" s="13"/>
    </row>
    <row r="504" spans="1:46" x14ac:dyDescent="0.25">
      <c r="A504" s="13"/>
      <c r="B504" s="13"/>
      <c r="C504" s="13"/>
      <c r="D504" s="13"/>
      <c r="E504" s="13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  <c r="AJ504" s="13"/>
      <c r="AK504" s="13"/>
      <c r="AL504" s="13"/>
      <c r="AM504" s="13"/>
      <c r="AN504" s="13"/>
      <c r="AO504" s="13"/>
      <c r="AP504" s="13"/>
      <c r="AQ504" s="13"/>
      <c r="AR504" s="13"/>
      <c r="AS504" s="13"/>
      <c r="AT504" s="13"/>
    </row>
    <row r="505" spans="1:46" x14ac:dyDescent="0.25">
      <c r="A505" s="13"/>
      <c r="B505" s="13"/>
      <c r="C505" s="13"/>
      <c r="D505" s="13"/>
      <c r="E505" s="13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  <c r="AJ505" s="13"/>
      <c r="AK505" s="13"/>
      <c r="AL505" s="13"/>
      <c r="AM505" s="13"/>
      <c r="AN505" s="13"/>
      <c r="AO505" s="13"/>
      <c r="AP505" s="13"/>
      <c r="AQ505" s="13"/>
      <c r="AR505" s="13"/>
      <c r="AS505" s="13"/>
      <c r="AT505" s="13"/>
    </row>
    <row r="506" spans="1:46" x14ac:dyDescent="0.25">
      <c r="A506" s="13"/>
      <c r="B506" s="13"/>
      <c r="C506" s="13"/>
      <c r="D506" s="13"/>
      <c r="E506" s="13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  <c r="AJ506" s="13"/>
      <c r="AK506" s="13"/>
      <c r="AL506" s="13"/>
      <c r="AM506" s="13"/>
      <c r="AN506" s="13"/>
      <c r="AO506" s="13"/>
      <c r="AP506" s="13"/>
      <c r="AQ506" s="13"/>
      <c r="AR506" s="13"/>
      <c r="AS506" s="13"/>
      <c r="AT506" s="13"/>
    </row>
    <row r="507" spans="1:46" x14ac:dyDescent="0.25">
      <c r="A507" s="13"/>
      <c r="B507" s="13"/>
      <c r="C507" s="13"/>
      <c r="D507" s="13"/>
      <c r="E507" s="13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  <c r="AJ507" s="13"/>
      <c r="AK507" s="13"/>
      <c r="AL507" s="13"/>
      <c r="AM507" s="13"/>
      <c r="AN507" s="13"/>
      <c r="AO507" s="13"/>
      <c r="AP507" s="13"/>
      <c r="AQ507" s="13"/>
      <c r="AR507" s="13"/>
      <c r="AS507" s="13"/>
      <c r="AT507" s="13"/>
    </row>
    <row r="508" spans="1:46" x14ac:dyDescent="0.25">
      <c r="A508" s="13"/>
      <c r="B508" s="13"/>
      <c r="C508" s="13"/>
      <c r="D508" s="13"/>
      <c r="E508" s="13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  <c r="AJ508" s="13"/>
      <c r="AK508" s="13"/>
      <c r="AL508" s="13"/>
      <c r="AM508" s="13"/>
      <c r="AN508" s="13"/>
      <c r="AO508" s="13"/>
      <c r="AP508" s="13"/>
      <c r="AQ508" s="13"/>
      <c r="AR508" s="13"/>
      <c r="AS508" s="13"/>
      <c r="AT508" s="13"/>
    </row>
    <row r="509" spans="1:46" x14ac:dyDescent="0.25">
      <c r="A509" s="13"/>
      <c r="B509" s="13"/>
      <c r="C509" s="13"/>
      <c r="D509" s="13"/>
      <c r="E509" s="13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  <c r="AJ509" s="13"/>
      <c r="AK509" s="13"/>
      <c r="AL509" s="13"/>
      <c r="AM509" s="13"/>
      <c r="AN509" s="13"/>
      <c r="AO509" s="13"/>
      <c r="AP509" s="13"/>
      <c r="AQ509" s="13"/>
      <c r="AR509" s="13"/>
      <c r="AS509" s="13"/>
      <c r="AT509" s="13"/>
    </row>
    <row r="510" spans="1:46" x14ac:dyDescent="0.25">
      <c r="A510" s="13"/>
      <c r="B510" s="13"/>
      <c r="C510" s="13"/>
      <c r="D510" s="13"/>
      <c r="E510" s="13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  <c r="AJ510" s="13"/>
      <c r="AK510" s="13"/>
      <c r="AL510" s="13"/>
      <c r="AM510" s="13"/>
      <c r="AN510" s="13"/>
      <c r="AO510" s="13"/>
      <c r="AP510" s="13"/>
      <c r="AQ510" s="13"/>
      <c r="AR510" s="13"/>
      <c r="AS510" s="13"/>
      <c r="AT510" s="13"/>
    </row>
    <row r="511" spans="1:46" x14ac:dyDescent="0.25">
      <c r="A511" s="13"/>
      <c r="B511" s="13"/>
      <c r="C511" s="13"/>
      <c r="D511" s="13"/>
      <c r="E511" s="13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  <c r="AJ511" s="13"/>
      <c r="AK511" s="13"/>
      <c r="AL511" s="13"/>
      <c r="AM511" s="13"/>
      <c r="AN511" s="13"/>
      <c r="AO511" s="13"/>
      <c r="AP511" s="13"/>
      <c r="AQ511" s="13"/>
      <c r="AR511" s="13"/>
      <c r="AS511" s="13"/>
      <c r="AT511" s="13"/>
    </row>
    <row r="512" spans="1:46" x14ac:dyDescent="0.25">
      <c r="A512" s="13"/>
      <c r="B512" s="13"/>
      <c r="C512" s="13"/>
      <c r="D512" s="13"/>
      <c r="E512" s="13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  <c r="AJ512" s="13"/>
      <c r="AK512" s="13"/>
      <c r="AL512" s="13"/>
      <c r="AM512" s="13"/>
      <c r="AN512" s="13"/>
      <c r="AO512" s="13"/>
      <c r="AP512" s="13"/>
      <c r="AQ512" s="13"/>
      <c r="AR512" s="13"/>
      <c r="AS512" s="13"/>
      <c r="AT512" s="13"/>
    </row>
    <row r="513" spans="1:46" x14ac:dyDescent="0.25">
      <c r="A513" s="13"/>
      <c r="B513" s="13"/>
      <c r="C513" s="13"/>
      <c r="D513" s="13"/>
      <c r="E513" s="13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  <c r="AJ513" s="13"/>
      <c r="AK513" s="13"/>
      <c r="AL513" s="13"/>
      <c r="AM513" s="13"/>
      <c r="AN513" s="13"/>
      <c r="AO513" s="13"/>
      <c r="AP513" s="13"/>
      <c r="AQ513" s="13"/>
      <c r="AR513" s="13"/>
      <c r="AS513" s="13"/>
      <c r="AT513" s="13"/>
    </row>
    <row r="514" spans="1:46" x14ac:dyDescent="0.25">
      <c r="A514" s="13"/>
      <c r="B514" s="13"/>
      <c r="C514" s="13"/>
      <c r="D514" s="13"/>
      <c r="E514" s="13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  <c r="AJ514" s="13"/>
      <c r="AK514" s="13"/>
      <c r="AL514" s="13"/>
      <c r="AM514" s="13"/>
      <c r="AN514" s="13"/>
      <c r="AO514" s="13"/>
      <c r="AP514" s="13"/>
      <c r="AQ514" s="13"/>
      <c r="AR514" s="13"/>
      <c r="AS514" s="13"/>
      <c r="AT514" s="13"/>
    </row>
    <row r="515" spans="1:46" x14ac:dyDescent="0.25">
      <c r="A515" s="13"/>
      <c r="B515" s="13"/>
      <c r="C515" s="13"/>
      <c r="D515" s="13"/>
      <c r="E515" s="13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  <c r="AJ515" s="13"/>
      <c r="AK515" s="13"/>
      <c r="AL515" s="13"/>
      <c r="AM515" s="13"/>
      <c r="AN515" s="13"/>
      <c r="AO515" s="13"/>
      <c r="AP515" s="13"/>
      <c r="AQ515" s="13"/>
      <c r="AR515" s="13"/>
      <c r="AS515" s="13"/>
      <c r="AT515" s="13"/>
    </row>
    <row r="516" spans="1:46" x14ac:dyDescent="0.25">
      <c r="A516" s="13"/>
      <c r="B516" s="13"/>
      <c r="C516" s="13"/>
      <c r="D516" s="13"/>
      <c r="E516" s="13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  <c r="AJ516" s="13"/>
      <c r="AK516" s="13"/>
      <c r="AL516" s="13"/>
      <c r="AM516" s="13"/>
      <c r="AN516" s="13"/>
      <c r="AO516" s="13"/>
      <c r="AP516" s="13"/>
      <c r="AQ516" s="13"/>
      <c r="AR516" s="13"/>
      <c r="AS516" s="13"/>
      <c r="AT516" s="13"/>
    </row>
    <row r="517" spans="1:46" x14ac:dyDescent="0.25">
      <c r="A517" s="13"/>
      <c r="B517" s="13"/>
      <c r="C517" s="13"/>
      <c r="D517" s="13"/>
      <c r="E517" s="13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  <c r="AJ517" s="13"/>
      <c r="AK517" s="13"/>
      <c r="AL517" s="13"/>
      <c r="AM517" s="13"/>
      <c r="AN517" s="13"/>
      <c r="AO517" s="13"/>
      <c r="AP517" s="13"/>
      <c r="AQ517" s="13"/>
      <c r="AR517" s="13"/>
      <c r="AS517" s="13"/>
      <c r="AT517" s="13"/>
    </row>
    <row r="518" spans="1:46" x14ac:dyDescent="0.25">
      <c r="A518" s="13"/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  <c r="AJ518" s="13"/>
      <c r="AK518" s="13"/>
      <c r="AL518" s="13"/>
      <c r="AM518" s="13"/>
      <c r="AN518" s="13"/>
      <c r="AO518" s="13"/>
      <c r="AP518" s="13"/>
      <c r="AQ518" s="13"/>
      <c r="AR518" s="13"/>
      <c r="AS518" s="13"/>
      <c r="AT518" s="13"/>
    </row>
    <row r="519" spans="1:46" x14ac:dyDescent="0.25">
      <c r="A519" s="13"/>
      <c r="B519" s="13"/>
      <c r="C519" s="13"/>
      <c r="D519" s="13"/>
      <c r="E519" s="13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  <c r="AJ519" s="13"/>
      <c r="AK519" s="13"/>
      <c r="AL519" s="13"/>
      <c r="AM519" s="13"/>
      <c r="AN519" s="13"/>
      <c r="AO519" s="13"/>
      <c r="AP519" s="13"/>
      <c r="AQ519" s="13"/>
      <c r="AR519" s="13"/>
      <c r="AS519" s="13"/>
      <c r="AT519" s="13"/>
    </row>
    <row r="520" spans="1:46" x14ac:dyDescent="0.25">
      <c r="A520" s="13"/>
      <c r="B520" s="13"/>
      <c r="C520" s="13"/>
      <c r="D520" s="13"/>
      <c r="E520" s="13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  <c r="AJ520" s="13"/>
      <c r="AK520" s="13"/>
      <c r="AL520" s="13"/>
      <c r="AM520" s="13"/>
      <c r="AN520" s="13"/>
      <c r="AO520" s="13"/>
      <c r="AP520" s="13"/>
      <c r="AQ520" s="13"/>
      <c r="AR520" s="13"/>
      <c r="AS520" s="13"/>
      <c r="AT520" s="13"/>
    </row>
    <row r="521" spans="1:46" x14ac:dyDescent="0.25">
      <c r="A521" s="13"/>
      <c r="B521" s="13"/>
      <c r="C521" s="13"/>
      <c r="D521" s="13"/>
      <c r="E521" s="13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  <c r="AJ521" s="13"/>
      <c r="AK521" s="13"/>
      <c r="AL521" s="13"/>
      <c r="AM521" s="13"/>
      <c r="AN521" s="13"/>
      <c r="AO521" s="13"/>
      <c r="AP521" s="13"/>
      <c r="AQ521" s="13"/>
      <c r="AR521" s="13"/>
      <c r="AS521" s="13"/>
      <c r="AT521" s="13"/>
    </row>
    <row r="522" spans="1:46" x14ac:dyDescent="0.25">
      <c r="A522" s="13"/>
      <c r="B522" s="13"/>
      <c r="C522" s="13"/>
      <c r="D522" s="13"/>
      <c r="E522" s="13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  <c r="AQ522" s="13"/>
      <c r="AR522" s="13"/>
      <c r="AS522" s="13"/>
      <c r="AT522" s="13"/>
    </row>
    <row r="523" spans="1:46" x14ac:dyDescent="0.25">
      <c r="A523" s="13"/>
      <c r="B523" s="13"/>
      <c r="C523" s="13"/>
      <c r="D523" s="13"/>
      <c r="E523" s="13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  <c r="AJ523" s="13"/>
      <c r="AK523" s="13"/>
      <c r="AL523" s="13"/>
      <c r="AM523" s="13"/>
      <c r="AN523" s="13"/>
      <c r="AO523" s="13"/>
      <c r="AP523" s="13"/>
      <c r="AQ523" s="13"/>
      <c r="AR523" s="13"/>
      <c r="AS523" s="13"/>
      <c r="AT523" s="13"/>
    </row>
    <row r="524" spans="1:46" x14ac:dyDescent="0.25">
      <c r="A524" s="13"/>
      <c r="B524" s="13"/>
      <c r="C524" s="13"/>
      <c r="D524" s="13"/>
      <c r="E524" s="13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  <c r="AJ524" s="13"/>
      <c r="AK524" s="13"/>
      <c r="AL524" s="13"/>
      <c r="AM524" s="13"/>
      <c r="AN524" s="13"/>
      <c r="AO524" s="13"/>
      <c r="AP524" s="13"/>
      <c r="AQ524" s="13"/>
      <c r="AR524" s="13"/>
      <c r="AS524" s="13"/>
      <c r="AT524" s="13"/>
    </row>
    <row r="525" spans="1:46" x14ac:dyDescent="0.25">
      <c r="A525" s="13"/>
      <c r="B525" s="13"/>
      <c r="C525" s="13"/>
      <c r="D525" s="13"/>
      <c r="E525" s="13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  <c r="AJ525" s="13"/>
      <c r="AK525" s="13"/>
      <c r="AL525" s="13"/>
      <c r="AM525" s="13"/>
      <c r="AN525" s="13"/>
      <c r="AO525" s="13"/>
      <c r="AP525" s="13"/>
      <c r="AQ525" s="13"/>
      <c r="AR525" s="13"/>
      <c r="AS525" s="13"/>
      <c r="AT525" s="13"/>
    </row>
    <row r="526" spans="1:46" x14ac:dyDescent="0.25">
      <c r="A526" s="13"/>
      <c r="B526" s="13"/>
      <c r="C526" s="13"/>
      <c r="D526" s="13"/>
      <c r="E526" s="13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  <c r="AJ526" s="13"/>
      <c r="AK526" s="13"/>
      <c r="AL526" s="13"/>
      <c r="AM526" s="13"/>
      <c r="AN526" s="13"/>
      <c r="AO526" s="13"/>
      <c r="AP526" s="13"/>
      <c r="AQ526" s="13"/>
      <c r="AR526" s="13"/>
      <c r="AS526" s="13"/>
      <c r="AT526" s="13"/>
    </row>
    <row r="527" spans="1:46" x14ac:dyDescent="0.25">
      <c r="A527" s="13"/>
      <c r="B527" s="13"/>
      <c r="C527" s="13"/>
      <c r="D527" s="13"/>
      <c r="E527" s="13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  <c r="AJ527" s="13"/>
      <c r="AK527" s="13"/>
      <c r="AL527" s="13"/>
      <c r="AM527" s="13"/>
      <c r="AN527" s="13"/>
      <c r="AO527" s="13"/>
      <c r="AP527" s="13"/>
      <c r="AQ527" s="13"/>
      <c r="AR527" s="13"/>
      <c r="AS527" s="13"/>
      <c r="AT527" s="13"/>
    </row>
    <row r="528" spans="1:46" x14ac:dyDescent="0.25">
      <c r="A528" s="13"/>
      <c r="B528" s="13"/>
      <c r="C528" s="13"/>
      <c r="D528" s="13"/>
      <c r="E528" s="13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  <c r="AJ528" s="13"/>
      <c r="AK528" s="13"/>
      <c r="AL528" s="13"/>
      <c r="AM528" s="13"/>
      <c r="AN528" s="13"/>
      <c r="AO528" s="13"/>
      <c r="AP528" s="13"/>
      <c r="AQ528" s="13"/>
      <c r="AR528" s="13"/>
      <c r="AS528" s="13"/>
      <c r="AT528" s="13"/>
    </row>
    <row r="529" spans="1:46" x14ac:dyDescent="0.25">
      <c r="A529" s="13"/>
      <c r="B529" s="13"/>
      <c r="C529" s="13"/>
      <c r="D529" s="13"/>
      <c r="E529" s="13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  <c r="AJ529" s="13"/>
      <c r="AK529" s="13"/>
      <c r="AL529" s="13"/>
      <c r="AM529" s="13"/>
      <c r="AN529" s="13"/>
      <c r="AO529" s="13"/>
      <c r="AP529" s="13"/>
      <c r="AQ529" s="13"/>
      <c r="AR529" s="13"/>
      <c r="AS529" s="13"/>
      <c r="AT529" s="13"/>
    </row>
    <row r="530" spans="1:46" x14ac:dyDescent="0.25">
      <c r="A530" s="13"/>
      <c r="B530" s="13"/>
      <c r="C530" s="13"/>
      <c r="D530" s="13"/>
      <c r="E530" s="13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  <c r="AJ530" s="13"/>
      <c r="AK530" s="13"/>
      <c r="AL530" s="13"/>
      <c r="AM530" s="13"/>
      <c r="AN530" s="13"/>
      <c r="AO530" s="13"/>
      <c r="AP530" s="13"/>
      <c r="AQ530" s="13"/>
      <c r="AR530" s="13"/>
      <c r="AS530" s="13"/>
      <c r="AT530" s="13"/>
    </row>
    <row r="531" spans="1:46" x14ac:dyDescent="0.25">
      <c r="A531" s="13"/>
      <c r="B531" s="13"/>
      <c r="C531" s="13"/>
      <c r="D531" s="13"/>
      <c r="E531" s="13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  <c r="AQ531" s="13"/>
      <c r="AR531" s="13"/>
      <c r="AS531" s="13"/>
      <c r="AT531" s="13"/>
    </row>
    <row r="532" spans="1:46" x14ac:dyDescent="0.25">
      <c r="A532" s="13"/>
      <c r="B532" s="13"/>
      <c r="C532" s="13"/>
      <c r="D532" s="13"/>
      <c r="E532" s="13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  <c r="AQ532" s="13"/>
      <c r="AR532" s="13"/>
      <c r="AS532" s="13"/>
      <c r="AT532" s="13"/>
    </row>
    <row r="533" spans="1:46" x14ac:dyDescent="0.25">
      <c r="A533" s="13"/>
      <c r="B533" s="13"/>
      <c r="C533" s="13"/>
      <c r="D533" s="13"/>
      <c r="E533" s="13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  <c r="AQ533" s="13"/>
      <c r="AR533" s="13"/>
      <c r="AS533" s="13"/>
      <c r="AT533" s="13"/>
    </row>
    <row r="534" spans="1:46" x14ac:dyDescent="0.25">
      <c r="A534" s="13"/>
      <c r="B534" s="13"/>
      <c r="C534" s="13"/>
      <c r="D534" s="13"/>
      <c r="E534" s="13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  <c r="AQ534" s="13"/>
      <c r="AR534" s="13"/>
      <c r="AS534" s="13"/>
      <c r="AT534" s="13"/>
    </row>
    <row r="535" spans="1:46" x14ac:dyDescent="0.25">
      <c r="A535" s="13"/>
      <c r="B535" s="13"/>
      <c r="C535" s="13"/>
      <c r="D535" s="13"/>
      <c r="E535" s="13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  <c r="AQ535" s="13"/>
      <c r="AR535" s="13"/>
      <c r="AS535" s="13"/>
      <c r="AT535" s="13"/>
    </row>
    <row r="536" spans="1:46" x14ac:dyDescent="0.25">
      <c r="A536" s="13"/>
      <c r="B536" s="13"/>
      <c r="C536" s="13"/>
      <c r="D536" s="13"/>
      <c r="E536" s="13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  <c r="AQ536" s="13"/>
      <c r="AR536" s="13"/>
      <c r="AS536" s="13"/>
      <c r="AT536" s="13"/>
    </row>
    <row r="537" spans="1:46" x14ac:dyDescent="0.25">
      <c r="A537" s="13"/>
      <c r="B537" s="13"/>
      <c r="C537" s="13"/>
      <c r="D537" s="13"/>
      <c r="E537" s="13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  <c r="AQ537" s="13"/>
      <c r="AR537" s="13"/>
      <c r="AS537" s="13"/>
      <c r="AT537" s="13"/>
    </row>
    <row r="538" spans="1:46" x14ac:dyDescent="0.25">
      <c r="A538" s="13"/>
      <c r="B538" s="13"/>
      <c r="C538" s="13"/>
      <c r="D538" s="13"/>
      <c r="E538" s="13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  <c r="AQ538" s="13"/>
      <c r="AR538" s="13"/>
      <c r="AS538" s="13"/>
      <c r="AT538" s="13"/>
    </row>
    <row r="539" spans="1:46" x14ac:dyDescent="0.25">
      <c r="A539" s="13"/>
      <c r="B539" s="13"/>
      <c r="C539" s="13"/>
      <c r="D539" s="13"/>
      <c r="E539" s="13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  <c r="AQ539" s="13"/>
      <c r="AR539" s="13"/>
      <c r="AS539" s="13"/>
      <c r="AT539" s="13"/>
    </row>
    <row r="540" spans="1:46" x14ac:dyDescent="0.25">
      <c r="A540" s="13"/>
      <c r="B540" s="13"/>
      <c r="C540" s="13"/>
      <c r="D540" s="13"/>
      <c r="E540" s="13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  <c r="AQ540" s="13"/>
      <c r="AR540" s="13"/>
      <c r="AS540" s="13"/>
      <c r="AT540" s="13"/>
    </row>
    <row r="541" spans="1:46" x14ac:dyDescent="0.25">
      <c r="A541" s="13"/>
      <c r="B541" s="13"/>
      <c r="C541" s="13"/>
      <c r="D541" s="13"/>
      <c r="E541" s="13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  <c r="AQ541" s="13"/>
      <c r="AR541" s="13"/>
      <c r="AS541" s="13"/>
      <c r="AT541" s="13"/>
    </row>
    <row r="542" spans="1:46" x14ac:dyDescent="0.25">
      <c r="A542" s="13"/>
      <c r="B542" s="13"/>
      <c r="C542" s="13"/>
      <c r="D542" s="13"/>
      <c r="E542" s="13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  <c r="AQ542" s="13"/>
      <c r="AR542" s="13"/>
      <c r="AS542" s="13"/>
      <c r="AT542" s="13"/>
    </row>
    <row r="543" spans="1:46" x14ac:dyDescent="0.25">
      <c r="A543" s="13"/>
      <c r="B543" s="13"/>
      <c r="C543" s="13"/>
      <c r="D543" s="13"/>
      <c r="E543" s="13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  <c r="AQ543" s="13"/>
      <c r="AR543" s="13"/>
      <c r="AS543" s="13"/>
      <c r="AT543" s="13"/>
    </row>
    <row r="544" spans="1:46" x14ac:dyDescent="0.25">
      <c r="A544" s="13"/>
      <c r="B544" s="13"/>
      <c r="C544" s="13"/>
      <c r="D544" s="13"/>
      <c r="E544" s="13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  <c r="AQ544" s="13"/>
      <c r="AR544" s="13"/>
      <c r="AS544" s="13"/>
      <c r="AT544" s="13"/>
    </row>
    <row r="545" spans="1:46" x14ac:dyDescent="0.25">
      <c r="A545" s="13"/>
      <c r="B545" s="13"/>
      <c r="C545" s="13"/>
      <c r="D545" s="13"/>
      <c r="E545" s="13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  <c r="AQ545" s="13"/>
      <c r="AR545" s="13"/>
      <c r="AS545" s="13"/>
      <c r="AT545" s="13"/>
    </row>
    <row r="546" spans="1:46" x14ac:dyDescent="0.25">
      <c r="A546" s="13"/>
      <c r="B546" s="13"/>
      <c r="C546" s="13"/>
      <c r="D546" s="13"/>
      <c r="E546" s="13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  <c r="AQ546" s="13"/>
      <c r="AR546" s="13"/>
      <c r="AS546" s="13"/>
      <c r="AT546" s="13"/>
    </row>
    <row r="547" spans="1:46" x14ac:dyDescent="0.25">
      <c r="A547" s="13"/>
      <c r="B547" s="13"/>
      <c r="C547" s="13"/>
      <c r="D547" s="13"/>
      <c r="E547" s="13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  <c r="AQ547" s="13"/>
      <c r="AR547" s="13"/>
      <c r="AS547" s="13"/>
      <c r="AT547" s="13"/>
    </row>
    <row r="548" spans="1:46" x14ac:dyDescent="0.25">
      <c r="A548" s="13"/>
      <c r="B548" s="13"/>
      <c r="C548" s="13"/>
      <c r="D548" s="13"/>
      <c r="E548" s="13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  <c r="AQ548" s="13"/>
      <c r="AR548" s="13"/>
      <c r="AS548" s="13"/>
      <c r="AT548" s="13"/>
    </row>
    <row r="549" spans="1:46" x14ac:dyDescent="0.25">
      <c r="A549" s="13"/>
      <c r="B549" s="13"/>
      <c r="C549" s="13"/>
      <c r="D549" s="13"/>
      <c r="E549" s="13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  <c r="AQ549" s="13"/>
      <c r="AR549" s="13"/>
      <c r="AS549" s="13"/>
      <c r="AT549" s="13"/>
    </row>
    <row r="550" spans="1:46" x14ac:dyDescent="0.25">
      <c r="A550" s="13"/>
      <c r="B550" s="13"/>
      <c r="C550" s="13"/>
      <c r="D550" s="13"/>
      <c r="E550" s="13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  <c r="AQ550" s="13"/>
      <c r="AR550" s="13"/>
      <c r="AS550" s="13"/>
      <c r="AT550" s="13"/>
    </row>
    <row r="551" spans="1:46" x14ac:dyDescent="0.25">
      <c r="A551" s="13"/>
      <c r="B551" s="13"/>
      <c r="C551" s="13"/>
      <c r="D551" s="13"/>
      <c r="E551" s="13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  <c r="AQ551" s="13"/>
      <c r="AR551" s="13"/>
      <c r="AS551" s="13"/>
      <c r="AT551" s="13"/>
    </row>
    <row r="552" spans="1:46" x14ac:dyDescent="0.25">
      <c r="A552" s="13"/>
      <c r="B552" s="13"/>
      <c r="C552" s="13"/>
      <c r="D552" s="13"/>
      <c r="E552" s="13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  <c r="AQ552" s="13"/>
      <c r="AR552" s="13"/>
      <c r="AS552" s="13"/>
      <c r="AT552" s="13"/>
    </row>
    <row r="553" spans="1:46" x14ac:dyDescent="0.25">
      <c r="A553" s="13"/>
      <c r="B553" s="13"/>
      <c r="C553" s="13"/>
      <c r="D553" s="13"/>
      <c r="E553" s="13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  <c r="AQ553" s="13"/>
      <c r="AR553" s="13"/>
      <c r="AS553" s="13"/>
      <c r="AT553" s="13"/>
    </row>
    <row r="554" spans="1:46" x14ac:dyDescent="0.25">
      <c r="A554" s="13"/>
      <c r="B554" s="13"/>
      <c r="C554" s="13"/>
      <c r="D554" s="13"/>
      <c r="E554" s="13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  <c r="AQ554" s="13"/>
      <c r="AR554" s="13"/>
      <c r="AS554" s="13"/>
      <c r="AT554" s="13"/>
    </row>
    <row r="555" spans="1:46" x14ac:dyDescent="0.25">
      <c r="A555" s="13"/>
      <c r="B555" s="13"/>
      <c r="C555" s="13"/>
      <c r="D555" s="13"/>
      <c r="E555" s="13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  <c r="AQ555" s="13"/>
      <c r="AR555" s="13"/>
      <c r="AS555" s="13"/>
      <c r="AT555" s="13"/>
    </row>
    <row r="556" spans="1:46" x14ac:dyDescent="0.25">
      <c r="A556" s="13"/>
      <c r="B556" s="13"/>
      <c r="C556" s="13"/>
      <c r="D556" s="13"/>
      <c r="E556" s="13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  <c r="AQ556" s="13"/>
      <c r="AR556" s="13"/>
      <c r="AS556" s="13"/>
      <c r="AT556" s="13"/>
    </row>
    <row r="557" spans="1:46" x14ac:dyDescent="0.25">
      <c r="A557" s="13"/>
      <c r="B557" s="13"/>
      <c r="C557" s="13"/>
      <c r="D557" s="13"/>
      <c r="E557" s="13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  <c r="AQ557" s="13"/>
      <c r="AR557" s="13"/>
      <c r="AS557" s="13"/>
      <c r="AT557" s="13"/>
    </row>
    <row r="558" spans="1:46" x14ac:dyDescent="0.25">
      <c r="A558" s="13"/>
      <c r="B558" s="13"/>
      <c r="C558" s="13"/>
      <c r="D558" s="13"/>
      <c r="E558" s="13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  <c r="AQ558" s="13"/>
      <c r="AR558" s="13"/>
      <c r="AS558" s="13"/>
      <c r="AT558" s="13"/>
    </row>
    <row r="559" spans="1:46" x14ac:dyDescent="0.25">
      <c r="A559" s="13"/>
      <c r="B559" s="13"/>
      <c r="C559" s="13"/>
      <c r="D559" s="13"/>
      <c r="E559" s="13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  <c r="AQ559" s="13"/>
      <c r="AR559" s="13"/>
      <c r="AS559" s="13"/>
      <c r="AT559" s="13"/>
    </row>
    <row r="560" spans="1:46" x14ac:dyDescent="0.25">
      <c r="A560" s="13"/>
      <c r="B560" s="13"/>
      <c r="C560" s="13"/>
      <c r="D560" s="13"/>
      <c r="E560" s="13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  <c r="AQ560" s="13"/>
      <c r="AR560" s="13"/>
      <c r="AS560" s="13"/>
      <c r="AT560" s="13"/>
    </row>
    <row r="561" spans="1:46" x14ac:dyDescent="0.25">
      <c r="A561" s="13"/>
      <c r="B561" s="13"/>
      <c r="C561" s="13"/>
      <c r="D561" s="13"/>
      <c r="E561" s="13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  <c r="AQ561" s="13"/>
      <c r="AR561" s="13"/>
      <c r="AS561" s="13"/>
      <c r="AT561" s="13"/>
    </row>
    <row r="562" spans="1:46" x14ac:dyDescent="0.25">
      <c r="A562" s="13"/>
      <c r="B562" s="13"/>
      <c r="C562" s="13"/>
      <c r="D562" s="13"/>
      <c r="E562" s="13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  <c r="AQ562" s="13"/>
      <c r="AR562" s="13"/>
      <c r="AS562" s="13"/>
      <c r="AT562" s="13"/>
    </row>
    <row r="563" spans="1:46" x14ac:dyDescent="0.25">
      <c r="A563" s="13"/>
      <c r="B563" s="13"/>
      <c r="C563" s="13"/>
      <c r="D563" s="13"/>
      <c r="E563" s="13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  <c r="AQ563" s="13"/>
      <c r="AR563" s="13"/>
      <c r="AS563" s="13"/>
      <c r="AT563" s="13"/>
    </row>
    <row r="564" spans="1:46" x14ac:dyDescent="0.25">
      <c r="A564" s="13"/>
      <c r="B564" s="13"/>
      <c r="C564" s="13"/>
      <c r="D564" s="13"/>
      <c r="E564" s="13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  <c r="AQ564" s="13"/>
      <c r="AR564" s="13"/>
      <c r="AS564" s="13"/>
      <c r="AT564" s="13"/>
    </row>
    <row r="565" spans="1:46" x14ac:dyDescent="0.25">
      <c r="A565" s="13"/>
      <c r="B565" s="13"/>
      <c r="C565" s="13"/>
      <c r="D565" s="13"/>
      <c r="E565" s="13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  <c r="AQ565" s="13"/>
      <c r="AR565" s="13"/>
      <c r="AS565" s="13"/>
      <c r="AT565" s="13"/>
    </row>
    <row r="566" spans="1:46" x14ac:dyDescent="0.25">
      <c r="A566" s="13"/>
      <c r="B566" s="13"/>
      <c r="C566" s="13"/>
      <c r="D566" s="13"/>
      <c r="E566" s="13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  <c r="AQ566" s="13"/>
      <c r="AR566" s="13"/>
      <c r="AS566" s="13"/>
      <c r="AT566" s="13"/>
    </row>
    <row r="567" spans="1:46" x14ac:dyDescent="0.25">
      <c r="A567" s="13"/>
      <c r="B567" s="13"/>
      <c r="C567" s="13"/>
      <c r="D567" s="13"/>
      <c r="E567" s="13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  <c r="AQ567" s="13"/>
      <c r="AR567" s="13"/>
      <c r="AS567" s="13"/>
      <c r="AT567" s="13"/>
    </row>
    <row r="568" spans="1:46" x14ac:dyDescent="0.25">
      <c r="A568" s="13"/>
      <c r="B568" s="13"/>
      <c r="C568" s="13"/>
      <c r="D568" s="13"/>
      <c r="E568" s="13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  <c r="AQ568" s="13"/>
      <c r="AR568" s="13"/>
      <c r="AS568" s="13"/>
      <c r="AT568" s="13"/>
    </row>
    <row r="569" spans="1:46" x14ac:dyDescent="0.25">
      <c r="A569" s="13"/>
      <c r="B569" s="13"/>
      <c r="C569" s="13"/>
      <c r="D569" s="13"/>
      <c r="E569" s="13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  <c r="AQ569" s="13"/>
      <c r="AR569" s="13"/>
      <c r="AS569" s="13"/>
      <c r="AT569" s="13"/>
    </row>
    <row r="570" spans="1:46" x14ac:dyDescent="0.25">
      <c r="A570" s="13"/>
      <c r="B570" s="13"/>
      <c r="C570" s="13"/>
      <c r="D570" s="13"/>
      <c r="E570" s="13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  <c r="AQ570" s="13"/>
      <c r="AR570" s="13"/>
      <c r="AS570" s="13"/>
      <c r="AT570" s="13"/>
    </row>
    <row r="571" spans="1:46" x14ac:dyDescent="0.25">
      <c r="A571" s="13"/>
      <c r="B571" s="13"/>
      <c r="C571" s="13"/>
      <c r="D571" s="13"/>
      <c r="E571" s="13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  <c r="AQ571" s="13"/>
      <c r="AR571" s="13"/>
      <c r="AS571" s="13"/>
      <c r="AT571" s="13"/>
    </row>
    <row r="572" spans="1:46" x14ac:dyDescent="0.25">
      <c r="A572" s="13"/>
      <c r="B572" s="13"/>
      <c r="C572" s="13"/>
      <c r="D572" s="13"/>
      <c r="E572" s="13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  <c r="AQ572" s="13"/>
      <c r="AR572" s="13"/>
      <c r="AS572" s="13"/>
      <c r="AT572" s="13"/>
    </row>
    <row r="573" spans="1:46" x14ac:dyDescent="0.25">
      <c r="A573" s="13"/>
      <c r="B573" s="13"/>
      <c r="C573" s="13"/>
      <c r="D573" s="13"/>
      <c r="E573" s="13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  <c r="AQ573" s="13"/>
      <c r="AR573" s="13"/>
      <c r="AS573" s="13"/>
      <c r="AT573" s="13"/>
    </row>
    <row r="574" spans="1:46" x14ac:dyDescent="0.25">
      <c r="A574" s="13"/>
      <c r="B574" s="13"/>
      <c r="C574" s="13"/>
      <c r="D574" s="13"/>
      <c r="E574" s="13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  <c r="AQ574" s="13"/>
      <c r="AR574" s="13"/>
      <c r="AS574" s="13"/>
      <c r="AT574" s="13"/>
    </row>
    <row r="575" spans="1:46" x14ac:dyDescent="0.25">
      <c r="A575" s="13"/>
      <c r="B575" s="13"/>
      <c r="C575" s="13"/>
      <c r="D575" s="13"/>
      <c r="E575" s="13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  <c r="AQ575" s="13"/>
      <c r="AR575" s="13"/>
      <c r="AS575" s="13"/>
      <c r="AT575" s="13"/>
    </row>
    <row r="576" spans="1:46" x14ac:dyDescent="0.25">
      <c r="A576" s="13"/>
      <c r="B576" s="13"/>
      <c r="C576" s="13"/>
      <c r="D576" s="13"/>
      <c r="E576" s="13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  <c r="AQ576" s="13"/>
      <c r="AR576" s="13"/>
      <c r="AS576" s="13"/>
      <c r="AT576" s="13"/>
    </row>
    <row r="577" spans="1:46" x14ac:dyDescent="0.25">
      <c r="A577" s="13"/>
      <c r="B577" s="13"/>
      <c r="C577" s="13"/>
      <c r="D577" s="13"/>
      <c r="E577" s="13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  <c r="AQ577" s="13"/>
      <c r="AR577" s="13"/>
      <c r="AS577" s="13"/>
      <c r="AT577" s="13"/>
    </row>
    <row r="578" spans="1:46" x14ac:dyDescent="0.25">
      <c r="A578" s="13"/>
      <c r="B578" s="13"/>
      <c r="C578" s="13"/>
      <c r="D578" s="13"/>
      <c r="E578" s="13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  <c r="AQ578" s="13"/>
      <c r="AR578" s="13"/>
      <c r="AS578" s="13"/>
      <c r="AT578" s="13"/>
    </row>
    <row r="579" spans="1:46" x14ac:dyDescent="0.25">
      <c r="A579" s="13"/>
      <c r="B579" s="13"/>
      <c r="C579" s="13"/>
      <c r="D579" s="13"/>
      <c r="E579" s="13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  <c r="AQ579" s="13"/>
      <c r="AR579" s="13"/>
      <c r="AS579" s="13"/>
      <c r="AT579" s="13"/>
    </row>
    <row r="580" spans="1:46" x14ac:dyDescent="0.25">
      <c r="A580" s="13"/>
      <c r="B580" s="13"/>
      <c r="C580" s="13"/>
      <c r="D580" s="13"/>
      <c r="E580" s="13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  <c r="AQ580" s="13"/>
      <c r="AR580" s="13"/>
      <c r="AS580" s="13"/>
      <c r="AT580" s="13"/>
    </row>
    <row r="581" spans="1:46" x14ac:dyDescent="0.25">
      <c r="A581" s="13"/>
      <c r="B581" s="13"/>
      <c r="C581" s="13"/>
      <c r="D581" s="13"/>
      <c r="E581" s="13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  <c r="AQ581" s="13"/>
      <c r="AR581" s="13"/>
      <c r="AS581" s="13"/>
      <c r="AT581" s="13"/>
    </row>
    <row r="582" spans="1:46" x14ac:dyDescent="0.25">
      <c r="A582" s="13"/>
      <c r="B582" s="13"/>
      <c r="C582" s="13"/>
      <c r="D582" s="13"/>
      <c r="E582" s="13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  <c r="AJ582" s="13"/>
      <c r="AK582" s="13"/>
      <c r="AL582" s="13"/>
      <c r="AM582" s="13"/>
      <c r="AN582" s="13"/>
      <c r="AO582" s="13"/>
      <c r="AP582" s="13"/>
      <c r="AQ582" s="13"/>
      <c r="AR582" s="13"/>
      <c r="AS582" s="13"/>
      <c r="AT582" s="13"/>
    </row>
    <row r="583" spans="1:46" x14ac:dyDescent="0.25">
      <c r="A583" s="13"/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</row>
    <row r="584" spans="1:46" x14ac:dyDescent="0.25">
      <c r="A584" s="13"/>
      <c r="B584" s="13"/>
      <c r="C584" s="13"/>
      <c r="D584" s="13"/>
      <c r="E584" s="13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  <c r="AQ584" s="13"/>
      <c r="AR584" s="13"/>
      <c r="AS584" s="13"/>
      <c r="AT584" s="13"/>
    </row>
    <row r="585" spans="1:46" x14ac:dyDescent="0.25">
      <c r="A585" s="13"/>
      <c r="B585" s="13"/>
      <c r="C585" s="13"/>
      <c r="D585" s="13"/>
      <c r="E585" s="13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  <c r="AQ585" s="13"/>
      <c r="AR585" s="13"/>
      <c r="AS585" s="13"/>
      <c r="AT585" s="13"/>
    </row>
    <row r="586" spans="1:46" x14ac:dyDescent="0.25">
      <c r="A586" s="13"/>
      <c r="B586" s="13"/>
      <c r="C586" s="13"/>
      <c r="D586" s="13"/>
      <c r="E586" s="13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  <c r="AQ586" s="13"/>
      <c r="AR586" s="13"/>
      <c r="AS586" s="13"/>
      <c r="AT586" s="13"/>
    </row>
    <row r="587" spans="1:46" x14ac:dyDescent="0.25">
      <c r="A587" s="13"/>
      <c r="B587" s="13"/>
      <c r="C587" s="13"/>
      <c r="D587" s="13"/>
      <c r="E587" s="13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  <c r="AQ587" s="13"/>
      <c r="AR587" s="13"/>
      <c r="AS587" s="13"/>
      <c r="AT587" s="13"/>
    </row>
    <row r="588" spans="1:46" x14ac:dyDescent="0.25">
      <c r="A588" s="13"/>
      <c r="B588" s="13"/>
      <c r="C588" s="13"/>
      <c r="D588" s="13"/>
      <c r="E588" s="13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  <c r="AQ588" s="13"/>
      <c r="AR588" s="13"/>
      <c r="AS588" s="13"/>
      <c r="AT588" s="13"/>
    </row>
    <row r="589" spans="1:46" x14ac:dyDescent="0.25">
      <c r="A589" s="13"/>
      <c r="B589" s="13"/>
      <c r="C589" s="13"/>
      <c r="D589" s="13"/>
      <c r="E589" s="13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  <c r="AQ589" s="13"/>
      <c r="AR589" s="13"/>
      <c r="AS589" s="13"/>
      <c r="AT589" s="13"/>
    </row>
    <row r="590" spans="1:46" x14ac:dyDescent="0.25">
      <c r="A590" s="13"/>
      <c r="B590" s="13"/>
      <c r="C590" s="13"/>
      <c r="D590" s="13"/>
      <c r="E590" s="13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  <c r="AQ590" s="13"/>
      <c r="AR590" s="13"/>
      <c r="AS590" s="13"/>
      <c r="AT590" s="13"/>
    </row>
    <row r="591" spans="1:46" x14ac:dyDescent="0.25">
      <c r="A591" s="13"/>
      <c r="B591" s="13"/>
      <c r="C591" s="13"/>
      <c r="D591" s="13"/>
      <c r="E591" s="13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  <c r="AQ591" s="13"/>
      <c r="AR591" s="13"/>
      <c r="AS591" s="13"/>
      <c r="AT591" s="13"/>
    </row>
    <row r="592" spans="1:46" x14ac:dyDescent="0.25">
      <c r="A592" s="13"/>
      <c r="B592" s="13"/>
      <c r="C592" s="13"/>
      <c r="D592" s="13"/>
      <c r="E592" s="13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  <c r="AQ592" s="13"/>
      <c r="AR592" s="13"/>
      <c r="AS592" s="13"/>
      <c r="AT592" s="13"/>
    </row>
    <row r="593" spans="1:46" x14ac:dyDescent="0.25">
      <c r="A593" s="13"/>
      <c r="B593" s="13"/>
      <c r="C593" s="13"/>
      <c r="D593" s="13"/>
      <c r="E593" s="13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  <c r="AQ593" s="13"/>
      <c r="AR593" s="13"/>
      <c r="AS593" s="13"/>
      <c r="AT593" s="13"/>
    </row>
    <row r="594" spans="1:46" x14ac:dyDescent="0.25">
      <c r="A594" s="13"/>
      <c r="B594" s="13"/>
      <c r="C594" s="13"/>
      <c r="D594" s="13"/>
      <c r="E594" s="13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  <c r="AQ594" s="13"/>
      <c r="AR594" s="13"/>
      <c r="AS594" s="13"/>
      <c r="AT594" s="13"/>
    </row>
    <row r="595" spans="1:46" x14ac:dyDescent="0.25">
      <c r="A595" s="13"/>
      <c r="B595" s="13"/>
      <c r="C595" s="13"/>
      <c r="D595" s="13"/>
      <c r="E595" s="13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  <c r="AQ595" s="13"/>
      <c r="AR595" s="13"/>
      <c r="AS595" s="13"/>
      <c r="AT595" s="13"/>
    </row>
    <row r="596" spans="1:46" x14ac:dyDescent="0.25">
      <c r="A596" s="13"/>
      <c r="B596" s="13"/>
      <c r="C596" s="13"/>
      <c r="D596" s="13"/>
      <c r="E596" s="13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  <c r="AQ596" s="13"/>
      <c r="AR596" s="13"/>
      <c r="AS596" s="13"/>
      <c r="AT596" s="13"/>
    </row>
    <row r="597" spans="1:46" x14ac:dyDescent="0.25">
      <c r="A597" s="13"/>
      <c r="B597" s="13"/>
      <c r="C597" s="13"/>
      <c r="D597" s="13"/>
      <c r="E597" s="13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  <c r="AJ597" s="13"/>
      <c r="AK597" s="13"/>
      <c r="AL597" s="13"/>
      <c r="AM597" s="13"/>
      <c r="AN597" s="13"/>
      <c r="AO597" s="13"/>
      <c r="AP597" s="13"/>
      <c r="AQ597" s="13"/>
      <c r="AR597" s="13"/>
      <c r="AS597" s="13"/>
      <c r="AT597" s="13"/>
    </row>
    <row r="598" spans="1:46" x14ac:dyDescent="0.25">
      <c r="A598" s="13"/>
      <c r="B598" s="13"/>
      <c r="C598" s="13"/>
      <c r="D598" s="13"/>
      <c r="E598" s="13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  <c r="AJ598" s="13"/>
      <c r="AK598" s="13"/>
      <c r="AL598" s="13"/>
      <c r="AM598" s="13"/>
      <c r="AN598" s="13"/>
      <c r="AO598" s="13"/>
      <c r="AP598" s="13"/>
      <c r="AQ598" s="13"/>
      <c r="AR598" s="13"/>
      <c r="AS598" s="13"/>
      <c r="AT598" s="13"/>
    </row>
    <row r="599" spans="1:46" x14ac:dyDescent="0.25">
      <c r="A599" s="13"/>
      <c r="B599" s="13"/>
      <c r="C599" s="13"/>
      <c r="D599" s="13"/>
      <c r="E599" s="13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  <c r="AQ599" s="13"/>
      <c r="AR599" s="13"/>
      <c r="AS599" s="13"/>
      <c r="AT599" s="13"/>
    </row>
    <row r="600" spans="1:46" x14ac:dyDescent="0.25">
      <c r="A600" s="13"/>
      <c r="B600" s="13"/>
      <c r="C600" s="13"/>
      <c r="D600" s="13"/>
      <c r="E600" s="13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  <c r="AQ600" s="13"/>
      <c r="AR600" s="13"/>
      <c r="AS600" s="13"/>
      <c r="AT600" s="13"/>
    </row>
    <row r="601" spans="1:46" x14ac:dyDescent="0.25">
      <c r="A601" s="13"/>
      <c r="B601" s="13"/>
      <c r="C601" s="13"/>
      <c r="D601" s="13"/>
      <c r="E601" s="13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  <c r="AQ601" s="13"/>
      <c r="AR601" s="13"/>
      <c r="AS601" s="13"/>
      <c r="AT601" s="13"/>
    </row>
    <row r="602" spans="1:46" x14ac:dyDescent="0.25">
      <c r="A602" s="13"/>
      <c r="B602" s="13"/>
      <c r="C602" s="13"/>
      <c r="D602" s="13"/>
      <c r="E602" s="13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  <c r="AQ602" s="13"/>
      <c r="AR602" s="13"/>
      <c r="AS602" s="13"/>
      <c r="AT602" s="13"/>
    </row>
    <row r="603" spans="1:46" x14ac:dyDescent="0.25">
      <c r="A603" s="13"/>
      <c r="B603" s="13"/>
      <c r="C603" s="13"/>
      <c r="D603" s="13"/>
      <c r="E603" s="13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  <c r="AQ603" s="13"/>
      <c r="AR603" s="13"/>
      <c r="AS603" s="13"/>
      <c r="AT603" s="13"/>
    </row>
    <row r="604" spans="1:46" x14ac:dyDescent="0.25">
      <c r="A604" s="13"/>
      <c r="B604" s="13"/>
      <c r="C604" s="13"/>
      <c r="D604" s="13"/>
      <c r="E604" s="13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  <c r="AQ604" s="13"/>
      <c r="AR604" s="13"/>
      <c r="AS604" s="13"/>
      <c r="AT604" s="13"/>
    </row>
    <row r="605" spans="1:46" x14ac:dyDescent="0.25">
      <c r="A605" s="13"/>
      <c r="B605" s="13"/>
      <c r="C605" s="13"/>
      <c r="D605" s="13"/>
      <c r="E605" s="13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  <c r="AQ605" s="13"/>
      <c r="AR605" s="13"/>
      <c r="AS605" s="13"/>
      <c r="AT605" s="13"/>
    </row>
    <row r="606" spans="1:46" x14ac:dyDescent="0.25">
      <c r="A606" s="13"/>
      <c r="B606" s="13"/>
      <c r="C606" s="13"/>
      <c r="D606" s="13"/>
      <c r="E606" s="13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  <c r="AQ606" s="13"/>
      <c r="AR606" s="13"/>
      <c r="AS606" s="13"/>
      <c r="AT606" s="13"/>
    </row>
    <row r="607" spans="1:46" x14ac:dyDescent="0.25">
      <c r="A607" s="13"/>
      <c r="B607" s="13"/>
      <c r="C607" s="13"/>
      <c r="D607" s="13"/>
      <c r="E607" s="13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  <c r="AQ607" s="13"/>
      <c r="AR607" s="13"/>
      <c r="AS607" s="13"/>
      <c r="AT607" s="13"/>
    </row>
    <row r="608" spans="1:46" x14ac:dyDescent="0.25">
      <c r="A608" s="13"/>
      <c r="B608" s="13"/>
      <c r="C608" s="13"/>
      <c r="D608" s="13"/>
      <c r="E608" s="13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  <c r="AQ608" s="13"/>
      <c r="AR608" s="13"/>
      <c r="AS608" s="13"/>
      <c r="AT608" s="13"/>
    </row>
    <row r="609" spans="1:46" x14ac:dyDescent="0.25">
      <c r="A609" s="13"/>
      <c r="B609" s="13"/>
      <c r="C609" s="13"/>
      <c r="D609" s="13"/>
      <c r="E609" s="13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  <c r="AQ609" s="13"/>
      <c r="AR609" s="13"/>
      <c r="AS609" s="13"/>
      <c r="AT609" s="13"/>
    </row>
    <row r="610" spans="1:46" x14ac:dyDescent="0.25">
      <c r="A610" s="13"/>
      <c r="B610" s="13"/>
      <c r="C610" s="13"/>
      <c r="D610" s="13"/>
      <c r="E610" s="13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  <c r="AQ610" s="13"/>
      <c r="AR610" s="13"/>
      <c r="AS610" s="13"/>
      <c r="AT610" s="13"/>
    </row>
    <row r="611" spans="1:46" x14ac:dyDescent="0.25">
      <c r="A611" s="13"/>
      <c r="B611" s="13"/>
      <c r="C611" s="13"/>
      <c r="D611" s="13"/>
      <c r="E611" s="13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  <c r="AQ611" s="13"/>
      <c r="AR611" s="13"/>
      <c r="AS611" s="13"/>
      <c r="AT611" s="13"/>
    </row>
    <row r="612" spans="1:46" x14ac:dyDescent="0.25">
      <c r="A612" s="13"/>
      <c r="B612" s="13"/>
      <c r="C612" s="13"/>
      <c r="D612" s="13"/>
      <c r="E612" s="13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  <c r="AQ612" s="13"/>
      <c r="AR612" s="13"/>
      <c r="AS612" s="13"/>
      <c r="AT612" s="13"/>
    </row>
    <row r="613" spans="1:46" x14ac:dyDescent="0.25">
      <c r="A613" s="13"/>
      <c r="B613" s="13"/>
      <c r="C613" s="13"/>
      <c r="D613" s="13"/>
      <c r="E613" s="13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  <c r="AQ613" s="13"/>
      <c r="AR613" s="13"/>
      <c r="AS613" s="13"/>
      <c r="AT613" s="13"/>
    </row>
    <row r="614" spans="1:46" x14ac:dyDescent="0.25">
      <c r="A614" s="13"/>
      <c r="B614" s="13"/>
      <c r="C614" s="13"/>
      <c r="D614" s="13"/>
      <c r="E614" s="13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  <c r="AQ614" s="13"/>
      <c r="AR614" s="13"/>
      <c r="AS614" s="13"/>
      <c r="AT614" s="13"/>
    </row>
    <row r="615" spans="1:46" x14ac:dyDescent="0.25">
      <c r="A615" s="13"/>
      <c r="B615" s="13"/>
      <c r="C615" s="13"/>
      <c r="D615" s="13"/>
      <c r="E615" s="13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  <c r="AQ615" s="13"/>
      <c r="AR615" s="13"/>
      <c r="AS615" s="13"/>
      <c r="AT615" s="13"/>
    </row>
    <row r="616" spans="1:46" x14ac:dyDescent="0.25">
      <c r="A616" s="13"/>
      <c r="B616" s="13"/>
      <c r="C616" s="13"/>
      <c r="D616" s="13"/>
      <c r="E616" s="13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  <c r="AQ616" s="13"/>
      <c r="AR616" s="13"/>
      <c r="AS616" s="13"/>
      <c r="AT616" s="13"/>
    </row>
    <row r="617" spans="1:46" x14ac:dyDescent="0.25">
      <c r="A617" s="13"/>
      <c r="B617" s="13"/>
      <c r="C617" s="13"/>
      <c r="D617" s="13"/>
      <c r="E617" s="13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  <c r="AQ617" s="13"/>
      <c r="AR617" s="13"/>
      <c r="AS617" s="13"/>
      <c r="AT617" s="13"/>
    </row>
    <row r="618" spans="1:46" x14ac:dyDescent="0.25">
      <c r="A618" s="13"/>
      <c r="B618" s="13"/>
      <c r="C618" s="13"/>
      <c r="D618" s="13"/>
      <c r="E618" s="13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  <c r="AQ618" s="13"/>
      <c r="AR618" s="13"/>
      <c r="AS618" s="13"/>
      <c r="AT618" s="13"/>
    </row>
    <row r="619" spans="1:46" x14ac:dyDescent="0.25">
      <c r="A619" s="13"/>
      <c r="B619" s="13"/>
      <c r="C619" s="13"/>
      <c r="D619" s="13"/>
      <c r="E619" s="13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  <c r="AQ619" s="13"/>
      <c r="AR619" s="13"/>
      <c r="AS619" s="13"/>
      <c r="AT619" s="13"/>
    </row>
    <row r="620" spans="1:46" x14ac:dyDescent="0.25">
      <c r="A620" s="13"/>
      <c r="B620" s="13"/>
      <c r="C620" s="13"/>
      <c r="D620" s="13"/>
      <c r="E620" s="13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  <c r="AQ620" s="13"/>
      <c r="AR620" s="13"/>
      <c r="AS620" s="13"/>
      <c r="AT620" s="13"/>
    </row>
    <row r="621" spans="1:46" x14ac:dyDescent="0.25">
      <c r="A621" s="13"/>
      <c r="B621" s="13"/>
      <c r="C621" s="13"/>
      <c r="D621" s="13"/>
      <c r="E621" s="13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  <c r="AQ621" s="13"/>
      <c r="AR621" s="13"/>
      <c r="AS621" s="13"/>
      <c r="AT621" s="13"/>
    </row>
    <row r="622" spans="1:46" x14ac:dyDescent="0.25">
      <c r="A622" s="13"/>
      <c r="B622" s="13"/>
      <c r="C622" s="13"/>
      <c r="D622" s="13"/>
      <c r="E622" s="13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  <c r="AQ622" s="13"/>
      <c r="AR622" s="13"/>
      <c r="AS622" s="13"/>
      <c r="AT622" s="13"/>
    </row>
    <row r="623" spans="1:46" x14ac:dyDescent="0.25">
      <c r="A623" s="13"/>
      <c r="B623" s="13"/>
      <c r="C623" s="13"/>
      <c r="D623" s="13"/>
      <c r="E623" s="13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  <c r="AQ623" s="13"/>
      <c r="AR623" s="13"/>
      <c r="AS623" s="13"/>
      <c r="AT623" s="13"/>
    </row>
    <row r="624" spans="1:46" x14ac:dyDescent="0.25">
      <c r="A624" s="13"/>
      <c r="B624" s="13"/>
      <c r="C624" s="13"/>
      <c r="D624" s="13"/>
      <c r="E624" s="13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  <c r="AQ624" s="13"/>
      <c r="AR624" s="13"/>
      <c r="AS624" s="13"/>
      <c r="AT624" s="13"/>
    </row>
    <row r="625" spans="1:46" x14ac:dyDescent="0.25">
      <c r="A625" s="13"/>
      <c r="B625" s="13"/>
      <c r="C625" s="13"/>
      <c r="D625" s="13"/>
      <c r="E625" s="13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  <c r="AQ625" s="13"/>
      <c r="AR625" s="13"/>
      <c r="AS625" s="13"/>
      <c r="AT625" s="13"/>
    </row>
    <row r="626" spans="1:46" x14ac:dyDescent="0.25">
      <c r="A626" s="13"/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  <c r="AQ626" s="13"/>
      <c r="AR626" s="13"/>
      <c r="AS626" s="13"/>
      <c r="AT626" s="13"/>
    </row>
    <row r="627" spans="1:46" x14ac:dyDescent="0.25">
      <c r="A627" s="13"/>
      <c r="B627" s="13"/>
      <c r="C627" s="13"/>
      <c r="D627" s="13"/>
      <c r="E627" s="13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  <c r="AQ627" s="13"/>
      <c r="AR627" s="13"/>
      <c r="AS627" s="13"/>
      <c r="AT627" s="13"/>
    </row>
    <row r="628" spans="1:46" x14ac:dyDescent="0.25">
      <c r="A628" s="13"/>
      <c r="B628" s="13"/>
      <c r="C628" s="13"/>
      <c r="D628" s="13"/>
      <c r="E628" s="13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  <c r="AQ628" s="13"/>
      <c r="AR628" s="13"/>
      <c r="AS628" s="13"/>
      <c r="AT628" s="13"/>
    </row>
    <row r="629" spans="1:46" x14ac:dyDescent="0.25">
      <c r="A629" s="13"/>
      <c r="B629" s="13"/>
      <c r="C629" s="13"/>
      <c r="D629" s="13"/>
      <c r="E629" s="13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  <c r="AQ629" s="13"/>
      <c r="AR629" s="13"/>
      <c r="AS629" s="13"/>
      <c r="AT629" s="13"/>
    </row>
    <row r="630" spans="1:46" x14ac:dyDescent="0.25">
      <c r="A630" s="13"/>
      <c r="B630" s="13"/>
      <c r="C630" s="13"/>
      <c r="D630" s="13"/>
      <c r="E630" s="13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  <c r="AQ630" s="13"/>
      <c r="AR630" s="13"/>
      <c r="AS630" s="13"/>
      <c r="AT630" s="13"/>
    </row>
    <row r="631" spans="1:46" x14ac:dyDescent="0.25">
      <c r="A631" s="13"/>
      <c r="B631" s="13"/>
      <c r="C631" s="13"/>
      <c r="D631" s="13"/>
      <c r="E631" s="13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  <c r="AQ631" s="13"/>
      <c r="AR631" s="13"/>
      <c r="AS631" s="13"/>
      <c r="AT631" s="13"/>
    </row>
    <row r="632" spans="1:46" x14ac:dyDescent="0.25">
      <c r="A632" s="13"/>
      <c r="B632" s="13"/>
      <c r="C632" s="13"/>
      <c r="D632" s="13"/>
      <c r="E632" s="13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  <c r="AQ632" s="13"/>
      <c r="AR632" s="13"/>
      <c r="AS632" s="13"/>
      <c r="AT632" s="13"/>
    </row>
    <row r="633" spans="1:46" x14ac:dyDescent="0.25">
      <c r="A633" s="13"/>
      <c r="B633" s="13"/>
      <c r="C633" s="13"/>
      <c r="D633" s="13"/>
      <c r="E633" s="13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  <c r="AQ633" s="13"/>
      <c r="AR633" s="13"/>
      <c r="AS633" s="13"/>
      <c r="AT633" s="13"/>
    </row>
    <row r="634" spans="1:46" x14ac:dyDescent="0.25">
      <c r="A634" s="13"/>
      <c r="B634" s="13"/>
      <c r="C634" s="13"/>
      <c r="D634" s="13"/>
      <c r="E634" s="13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  <c r="AQ634" s="13"/>
      <c r="AR634" s="13"/>
      <c r="AS634" s="13"/>
      <c r="AT634" s="13"/>
    </row>
    <row r="635" spans="1:46" x14ac:dyDescent="0.25">
      <c r="A635" s="13"/>
      <c r="B635" s="13"/>
      <c r="C635" s="13"/>
      <c r="D635" s="13"/>
      <c r="E635" s="13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  <c r="AQ635" s="13"/>
      <c r="AR635" s="13"/>
      <c r="AS635" s="13"/>
      <c r="AT635" s="13"/>
    </row>
    <row r="636" spans="1:46" x14ac:dyDescent="0.25">
      <c r="A636" s="13"/>
      <c r="B636" s="13"/>
      <c r="C636" s="13"/>
      <c r="D636" s="13"/>
      <c r="E636" s="13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  <c r="AQ636" s="13"/>
      <c r="AR636" s="13"/>
      <c r="AS636" s="13"/>
      <c r="AT636" s="13"/>
    </row>
    <row r="637" spans="1:46" x14ac:dyDescent="0.25">
      <c r="A637" s="13"/>
      <c r="B637" s="13"/>
      <c r="C637" s="13"/>
      <c r="D637" s="13"/>
      <c r="E637" s="13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  <c r="AQ637" s="13"/>
      <c r="AR637" s="13"/>
      <c r="AS637" s="13"/>
      <c r="AT637" s="13"/>
    </row>
    <row r="638" spans="1:46" x14ac:dyDescent="0.25">
      <c r="A638" s="13"/>
      <c r="B638" s="13"/>
      <c r="C638" s="13"/>
      <c r="D638" s="13"/>
      <c r="E638" s="13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  <c r="AQ638" s="13"/>
      <c r="AR638" s="13"/>
      <c r="AS638" s="13"/>
      <c r="AT638" s="13"/>
    </row>
    <row r="639" spans="1:46" x14ac:dyDescent="0.25">
      <c r="A639" s="13"/>
      <c r="B639" s="13"/>
      <c r="C639" s="13"/>
      <c r="D639" s="13"/>
      <c r="E639" s="13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  <c r="AQ639" s="13"/>
      <c r="AR639" s="13"/>
      <c r="AS639" s="13"/>
      <c r="AT639" s="13"/>
    </row>
    <row r="640" spans="1:46" x14ac:dyDescent="0.25">
      <c r="A640" s="13"/>
      <c r="B640" s="13"/>
      <c r="C640" s="13"/>
      <c r="D640" s="13"/>
      <c r="E640" s="13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  <c r="AQ640" s="13"/>
      <c r="AR640" s="13"/>
      <c r="AS640" s="13"/>
      <c r="AT640" s="13"/>
    </row>
    <row r="641" spans="1:46" x14ac:dyDescent="0.25">
      <c r="A641" s="13"/>
      <c r="B641" s="13"/>
      <c r="C641" s="13"/>
      <c r="D641" s="13"/>
      <c r="E641" s="13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  <c r="AQ641" s="13"/>
      <c r="AR641" s="13"/>
      <c r="AS641" s="13"/>
      <c r="AT641" s="13"/>
    </row>
    <row r="642" spans="1:46" x14ac:dyDescent="0.25">
      <c r="A642" s="13"/>
      <c r="B642" s="13"/>
      <c r="C642" s="13"/>
      <c r="D642" s="13"/>
      <c r="E642" s="13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  <c r="AQ642" s="13"/>
      <c r="AR642" s="13"/>
      <c r="AS642" s="13"/>
      <c r="AT642" s="13"/>
    </row>
    <row r="643" spans="1:46" x14ac:dyDescent="0.25">
      <c r="A643" s="13"/>
      <c r="B643" s="13"/>
      <c r="C643" s="13"/>
      <c r="D643" s="13"/>
      <c r="E643" s="13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  <c r="AQ643" s="13"/>
      <c r="AR643" s="13"/>
      <c r="AS643" s="13"/>
      <c r="AT643" s="13"/>
    </row>
    <row r="644" spans="1:46" x14ac:dyDescent="0.25">
      <c r="A644" s="13"/>
      <c r="B644" s="13"/>
      <c r="C644" s="13"/>
      <c r="D644" s="13"/>
      <c r="E644" s="13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  <c r="AQ644" s="13"/>
      <c r="AR644" s="13"/>
      <c r="AS644" s="13"/>
      <c r="AT644" s="13"/>
    </row>
    <row r="645" spans="1:46" x14ac:dyDescent="0.25">
      <c r="A645" s="13"/>
      <c r="B645" s="13"/>
      <c r="C645" s="13"/>
      <c r="D645" s="13"/>
      <c r="E645" s="13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  <c r="AQ645" s="13"/>
      <c r="AR645" s="13"/>
      <c r="AS645" s="13"/>
      <c r="AT645" s="13"/>
    </row>
    <row r="646" spans="1:46" x14ac:dyDescent="0.25">
      <c r="A646" s="13"/>
      <c r="B646" s="13"/>
      <c r="C646" s="13"/>
      <c r="D646" s="13"/>
      <c r="E646" s="13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  <c r="AQ646" s="13"/>
      <c r="AR646" s="13"/>
      <c r="AS646" s="13"/>
      <c r="AT646" s="13"/>
    </row>
    <row r="647" spans="1:46" x14ac:dyDescent="0.25">
      <c r="A647" s="13"/>
      <c r="B647" s="13"/>
      <c r="C647" s="13"/>
      <c r="D647" s="13"/>
      <c r="E647" s="13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  <c r="AQ647" s="13"/>
      <c r="AR647" s="13"/>
      <c r="AS647" s="13"/>
      <c r="AT647" s="13"/>
    </row>
    <row r="648" spans="1:46" x14ac:dyDescent="0.25">
      <c r="A648" s="13"/>
      <c r="B648" s="13"/>
      <c r="C648" s="13"/>
      <c r="D648" s="13"/>
      <c r="E648" s="13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  <c r="AQ648" s="13"/>
      <c r="AR648" s="13"/>
      <c r="AS648" s="13"/>
      <c r="AT648" s="13"/>
    </row>
    <row r="649" spans="1:46" x14ac:dyDescent="0.25">
      <c r="A649" s="13"/>
      <c r="B649" s="13"/>
      <c r="C649" s="13"/>
      <c r="D649" s="13"/>
      <c r="E649" s="13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  <c r="AQ649" s="13"/>
      <c r="AR649" s="13"/>
      <c r="AS649" s="13"/>
      <c r="AT649" s="13"/>
    </row>
    <row r="650" spans="1:46" x14ac:dyDescent="0.25">
      <c r="A650" s="13"/>
      <c r="B650" s="13"/>
      <c r="C650" s="13"/>
      <c r="D650" s="13"/>
      <c r="E650" s="13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  <c r="AJ650" s="13"/>
      <c r="AK650" s="13"/>
      <c r="AL650" s="13"/>
      <c r="AM650" s="13"/>
      <c r="AN650" s="13"/>
      <c r="AO650" s="13"/>
      <c r="AP650" s="13"/>
      <c r="AQ650" s="13"/>
      <c r="AR650" s="13"/>
      <c r="AS650" s="13"/>
      <c r="AT650" s="13"/>
    </row>
    <row r="651" spans="1:46" x14ac:dyDescent="0.25">
      <c r="A651" s="13"/>
      <c r="B651" s="13"/>
      <c r="C651" s="13"/>
      <c r="D651" s="13"/>
      <c r="E651" s="13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  <c r="AQ651" s="13"/>
      <c r="AR651" s="13"/>
      <c r="AS651" s="13"/>
      <c r="AT651" s="13"/>
    </row>
    <row r="652" spans="1:46" x14ac:dyDescent="0.25">
      <c r="A652" s="13"/>
      <c r="B652" s="13"/>
      <c r="C652" s="13"/>
      <c r="D652" s="13"/>
      <c r="E652" s="13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  <c r="AQ652" s="13"/>
      <c r="AR652" s="13"/>
      <c r="AS652" s="13"/>
      <c r="AT652" s="13"/>
    </row>
    <row r="653" spans="1:46" x14ac:dyDescent="0.25">
      <c r="A653" s="13"/>
      <c r="B653" s="13"/>
      <c r="C653" s="13"/>
      <c r="D653" s="13"/>
      <c r="E653" s="13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  <c r="AQ653" s="13"/>
      <c r="AR653" s="13"/>
      <c r="AS653" s="13"/>
      <c r="AT653" s="13"/>
    </row>
    <row r="654" spans="1:46" x14ac:dyDescent="0.25">
      <c r="A654" s="13"/>
      <c r="B654" s="13"/>
      <c r="C654" s="13"/>
      <c r="D654" s="13"/>
      <c r="E654" s="13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  <c r="AQ654" s="13"/>
      <c r="AR654" s="13"/>
      <c r="AS654" s="13"/>
      <c r="AT654" s="13"/>
    </row>
    <row r="655" spans="1:46" x14ac:dyDescent="0.25">
      <c r="A655" s="13"/>
      <c r="B655" s="13"/>
      <c r="C655" s="13"/>
      <c r="D655" s="13"/>
      <c r="E655" s="13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  <c r="AQ655" s="13"/>
      <c r="AR655" s="13"/>
      <c r="AS655" s="13"/>
      <c r="AT655" s="13"/>
    </row>
    <row r="656" spans="1:46" x14ac:dyDescent="0.25">
      <c r="A656" s="13"/>
      <c r="B656" s="13"/>
      <c r="C656" s="13"/>
      <c r="D656" s="13"/>
      <c r="E656" s="13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  <c r="AQ656" s="13"/>
      <c r="AR656" s="13"/>
      <c r="AS656" s="13"/>
      <c r="AT656" s="13"/>
    </row>
    <row r="657" spans="1:46" x14ac:dyDescent="0.25">
      <c r="A657" s="13"/>
      <c r="B657" s="13"/>
      <c r="C657" s="13"/>
      <c r="D657" s="13"/>
      <c r="E657" s="13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  <c r="AQ657" s="13"/>
      <c r="AR657" s="13"/>
      <c r="AS657" s="13"/>
      <c r="AT657" s="13"/>
    </row>
    <row r="658" spans="1:46" x14ac:dyDescent="0.25">
      <c r="A658" s="13"/>
      <c r="B658" s="13"/>
      <c r="C658" s="13"/>
      <c r="D658" s="13"/>
      <c r="E658" s="13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  <c r="AQ658" s="13"/>
      <c r="AR658" s="13"/>
      <c r="AS658" s="13"/>
      <c r="AT658" s="13"/>
    </row>
    <row r="659" spans="1:46" x14ac:dyDescent="0.25">
      <c r="A659" s="13"/>
      <c r="B659" s="13"/>
      <c r="C659" s="13"/>
      <c r="D659" s="13"/>
      <c r="E659" s="13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  <c r="AQ659" s="13"/>
      <c r="AR659" s="13"/>
      <c r="AS659" s="13"/>
      <c r="AT659" s="13"/>
    </row>
    <row r="660" spans="1:46" x14ac:dyDescent="0.25">
      <c r="A660" s="13"/>
      <c r="B660" s="13"/>
      <c r="C660" s="13"/>
      <c r="D660" s="13"/>
      <c r="E660" s="13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  <c r="AQ660" s="13"/>
      <c r="AR660" s="13"/>
      <c r="AS660" s="13"/>
      <c r="AT660" s="13"/>
    </row>
    <row r="661" spans="1:46" x14ac:dyDescent="0.25">
      <c r="A661" s="13"/>
      <c r="B661" s="13"/>
      <c r="C661" s="13"/>
      <c r="D661" s="13"/>
      <c r="E661" s="13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  <c r="AQ661" s="13"/>
      <c r="AR661" s="13"/>
      <c r="AS661" s="13"/>
      <c r="AT661" s="13"/>
    </row>
    <row r="662" spans="1:46" x14ac:dyDescent="0.25">
      <c r="A662" s="13"/>
      <c r="B662" s="13"/>
      <c r="C662" s="13"/>
      <c r="D662" s="13"/>
      <c r="E662" s="13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  <c r="AQ662" s="13"/>
      <c r="AR662" s="13"/>
      <c r="AS662" s="13"/>
      <c r="AT662" s="13"/>
    </row>
    <row r="663" spans="1:46" x14ac:dyDescent="0.25">
      <c r="A663" s="13"/>
      <c r="B663" s="13"/>
      <c r="C663" s="13"/>
      <c r="D663" s="13"/>
      <c r="E663" s="13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  <c r="AQ663" s="13"/>
      <c r="AR663" s="13"/>
      <c r="AS663" s="13"/>
      <c r="AT663" s="13"/>
    </row>
    <row r="664" spans="1:46" x14ac:dyDescent="0.25">
      <c r="A664" s="13"/>
      <c r="B664" s="13"/>
      <c r="C664" s="13"/>
      <c r="D664" s="13"/>
      <c r="E664" s="13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  <c r="AQ664" s="13"/>
      <c r="AR664" s="13"/>
      <c r="AS664" s="13"/>
      <c r="AT664" s="13"/>
    </row>
    <row r="665" spans="1:46" x14ac:dyDescent="0.25">
      <c r="A665" s="13"/>
      <c r="B665" s="13"/>
      <c r="C665" s="13"/>
      <c r="D665" s="13"/>
      <c r="E665" s="13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  <c r="AQ665" s="13"/>
      <c r="AR665" s="13"/>
      <c r="AS665" s="13"/>
      <c r="AT665" s="13"/>
    </row>
    <row r="666" spans="1:46" x14ac:dyDescent="0.25">
      <c r="A666" s="13"/>
      <c r="B666" s="13"/>
      <c r="C666" s="13"/>
      <c r="D666" s="13"/>
      <c r="E666" s="13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  <c r="AQ666" s="13"/>
      <c r="AR666" s="13"/>
      <c r="AS666" s="13"/>
      <c r="AT666" s="13"/>
    </row>
    <row r="667" spans="1:46" x14ac:dyDescent="0.25">
      <c r="A667" s="13"/>
      <c r="B667" s="13"/>
      <c r="C667" s="13"/>
      <c r="D667" s="13"/>
      <c r="E667" s="13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  <c r="AQ667" s="13"/>
      <c r="AR667" s="13"/>
      <c r="AS667" s="13"/>
      <c r="AT667" s="13"/>
    </row>
    <row r="668" spans="1:46" x14ac:dyDescent="0.25">
      <c r="A668" s="13"/>
      <c r="B668" s="13"/>
      <c r="C668" s="13"/>
      <c r="D668" s="13"/>
      <c r="E668" s="13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</row>
    <row r="669" spans="1:46" x14ac:dyDescent="0.25">
      <c r="A669" s="13"/>
      <c r="B669" s="13"/>
      <c r="C669" s="13"/>
      <c r="D669" s="13"/>
      <c r="E669" s="13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</row>
    <row r="670" spans="1:46" x14ac:dyDescent="0.25">
      <c r="A670" s="13"/>
      <c r="B670" s="13"/>
      <c r="C670" s="13"/>
      <c r="D670" s="13"/>
      <c r="E670" s="13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</row>
    <row r="671" spans="1:46" x14ac:dyDescent="0.25">
      <c r="A671" s="13"/>
      <c r="B671" s="13"/>
      <c r="C671" s="13"/>
      <c r="D671" s="13"/>
      <c r="E671" s="13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</row>
    <row r="672" spans="1:46" x14ac:dyDescent="0.25">
      <c r="A672" s="13"/>
      <c r="B672" s="13"/>
      <c r="C672" s="13"/>
      <c r="D672" s="13"/>
      <c r="E672" s="13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</row>
    <row r="673" spans="1:20" x14ac:dyDescent="0.25">
      <c r="A673" s="13"/>
      <c r="B673" s="13"/>
      <c r="C673" s="13"/>
      <c r="D673" s="13"/>
      <c r="E673" s="13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</row>
    <row r="674" spans="1:20" x14ac:dyDescent="0.25">
      <c r="A674" s="13"/>
      <c r="B674" s="13"/>
      <c r="C674" s="13"/>
      <c r="D674" s="13"/>
      <c r="E674" s="13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</row>
    <row r="675" spans="1:20" x14ac:dyDescent="0.25">
      <c r="A675" s="13"/>
      <c r="B675" s="13"/>
      <c r="C675" s="13"/>
      <c r="D675" s="13"/>
      <c r="E675" s="13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</row>
  </sheetData>
  <pageMargins left="0.511811024" right="0.511811024" top="0.78740157499999996" bottom="0.78740157499999996" header="0.31496062000000002" footer="0.31496062000000002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BASE_ENTREGAS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LucasOFC 17</dc:creator>
  <cp:lastModifiedBy>LucasOFC 17</cp:lastModifiedBy>
  <dcterms:created xsi:type="dcterms:W3CDTF">2026-02-20T00:14:30Z</dcterms:created>
  <dcterms:modified xsi:type="dcterms:W3CDTF">2026-02-21T00:21:25Z</dcterms:modified>
</cp:coreProperties>
</file>